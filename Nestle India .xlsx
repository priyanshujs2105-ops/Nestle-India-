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13_ncr:1000001_{C391EB83-5F3B-FA41-B040-5C36F9961B5B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Executive Summary" sheetId="1" r:id="rId1"/>
    <sheet name="Budget VS Actual Dashboard" sheetId="2" r:id="rId2"/>
    <sheet name="Budget VS Forecast Dashboard" sheetId="3" r:id="rId3"/>
    <sheet name=" Model&gt;" sheetId="4" r:id="rId4"/>
    <sheet name="Monthly Actuals" sheetId="5" r:id="rId5"/>
    <sheet name="Monthly Budget" sheetId="6" r:id="rId6"/>
    <sheet name="Rolling Forecast" sheetId="7" r:id="rId7"/>
    <sheet name="Budget VS Actuals" sheetId="8" r:id="rId8"/>
    <sheet name="Budget VS Forecast" sheetId="9" r:id="rId9"/>
    <sheet name="Variance Analysis" sheetId="10" r:id="rId10"/>
    <sheet name="Model Checks" sheetId="11" r:id="rId11"/>
    <sheet name="Assumptions" sheetId="12" r:id="rId12"/>
    <sheet name="Financials&gt;" sheetId="13" r:id="rId13"/>
    <sheet name="Common Size Statement" sheetId="14" r:id="rId14"/>
    <sheet name="Ratio analysis" sheetId="15" r:id="rId15"/>
    <sheet name="Data Room&gt;" sheetId="16" r:id="rId16"/>
    <sheet name="Historical FS" sheetId="17" r:id="rId17"/>
    <sheet name="Data Sheet" sheetId="18" r:id="rId18"/>
  </sheets>
  <definedNames>
    <definedName name="_xlnm.Print_Area" localSheetId="11">Assumptions!$A$1:$J$41</definedName>
    <definedName name="_xlnm.Print_Area" localSheetId="0">'Executive Summary'!$A$1:$S$51</definedName>
    <definedName name="_xlnm.Print_Area" localSheetId="10">'Model Checks'!$A$1:$E$22</definedName>
    <definedName name="UPDATE">'Data Sheet'!$E$1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18" l="1"/>
  <c r="E1" i="18"/>
  <c r="L66" i="17"/>
  <c r="K66" i="17"/>
  <c r="J66" i="17"/>
  <c r="I66" i="17"/>
  <c r="H66" i="17"/>
  <c r="G66" i="17"/>
  <c r="F66" i="17"/>
  <c r="E66" i="17"/>
  <c r="D66" i="17"/>
  <c r="C66" i="17"/>
  <c r="L64" i="17"/>
  <c r="K64" i="17"/>
  <c r="J64" i="17"/>
  <c r="I64" i="17"/>
  <c r="H64" i="17"/>
  <c r="G64" i="17"/>
  <c r="F64" i="17"/>
  <c r="E64" i="17"/>
  <c r="D64" i="17"/>
  <c r="C64" i="17"/>
  <c r="L63" i="17"/>
  <c r="K63" i="17"/>
  <c r="J63" i="17"/>
  <c r="I63" i="17"/>
  <c r="H63" i="17"/>
  <c r="G63" i="17"/>
  <c r="F63" i="17"/>
  <c r="E63" i="17"/>
  <c r="D63" i="17"/>
  <c r="C63" i="17"/>
  <c r="L62" i="17"/>
  <c r="K62" i="17"/>
  <c r="J62" i="17"/>
  <c r="I62" i="17"/>
  <c r="H62" i="17"/>
  <c r="G62" i="17"/>
  <c r="F62" i="17"/>
  <c r="E62" i="17"/>
  <c r="D62" i="17"/>
  <c r="C62" i="17"/>
  <c r="L45" i="17"/>
  <c r="L46" i="17"/>
  <c r="L47" i="17"/>
  <c r="L48" i="17"/>
  <c r="L49" i="17"/>
  <c r="L51" i="17"/>
  <c r="L52" i="17"/>
  <c r="L53" i="17"/>
  <c r="L54" i="17"/>
  <c r="L56" i="17"/>
  <c r="L43" i="17"/>
  <c r="L57" i="17"/>
  <c r="K45" i="17"/>
  <c r="K46" i="17"/>
  <c r="K47" i="17"/>
  <c r="K48" i="17"/>
  <c r="K49" i="17"/>
  <c r="K51" i="17"/>
  <c r="K52" i="17"/>
  <c r="K53" i="17"/>
  <c r="K54" i="17"/>
  <c r="K56" i="17"/>
  <c r="K43" i="17"/>
  <c r="K57" i="17"/>
  <c r="J45" i="17"/>
  <c r="J46" i="17"/>
  <c r="J47" i="17"/>
  <c r="J48" i="17"/>
  <c r="J49" i="17"/>
  <c r="J51" i="17"/>
  <c r="J52" i="17"/>
  <c r="J53" i="17"/>
  <c r="J54" i="17"/>
  <c r="J56" i="17"/>
  <c r="J43" i="17"/>
  <c r="J57" i="17"/>
  <c r="I45" i="17"/>
  <c r="I46" i="17"/>
  <c r="I47" i="17"/>
  <c r="I48" i="17"/>
  <c r="I49" i="17"/>
  <c r="I51" i="17"/>
  <c r="I52" i="17"/>
  <c r="I53" i="17"/>
  <c r="I54" i="17"/>
  <c r="I56" i="17"/>
  <c r="I43" i="17"/>
  <c r="I57" i="17"/>
  <c r="H45" i="17"/>
  <c r="H46" i="17"/>
  <c r="H47" i="17"/>
  <c r="H48" i="17"/>
  <c r="H49" i="17"/>
  <c r="H51" i="17"/>
  <c r="H52" i="17"/>
  <c r="H53" i="17"/>
  <c r="H54" i="17"/>
  <c r="H56" i="17"/>
  <c r="H43" i="17"/>
  <c r="H57" i="17"/>
  <c r="G45" i="17"/>
  <c r="G46" i="17"/>
  <c r="G47" i="17"/>
  <c r="G48" i="17"/>
  <c r="G49" i="17"/>
  <c r="G51" i="17"/>
  <c r="G52" i="17"/>
  <c r="G53" i="17"/>
  <c r="G54" i="17"/>
  <c r="G56" i="17"/>
  <c r="G43" i="17"/>
  <c r="G57" i="17"/>
  <c r="F45" i="17"/>
  <c r="F46" i="17"/>
  <c r="F47" i="17"/>
  <c r="F48" i="17"/>
  <c r="F49" i="17"/>
  <c r="F51" i="17"/>
  <c r="F52" i="17"/>
  <c r="F53" i="17"/>
  <c r="F54" i="17"/>
  <c r="F56" i="17"/>
  <c r="F43" i="17"/>
  <c r="F57" i="17"/>
  <c r="E45" i="17"/>
  <c r="E46" i="17"/>
  <c r="E47" i="17"/>
  <c r="E48" i="17"/>
  <c r="E49" i="17"/>
  <c r="E51" i="17"/>
  <c r="E52" i="17"/>
  <c r="E53" i="17"/>
  <c r="E54" i="17"/>
  <c r="E56" i="17"/>
  <c r="E43" i="17"/>
  <c r="E57" i="17"/>
  <c r="D45" i="17"/>
  <c r="D46" i="17"/>
  <c r="D47" i="17"/>
  <c r="D48" i="17"/>
  <c r="D49" i="17"/>
  <c r="D51" i="17"/>
  <c r="D52" i="17"/>
  <c r="D53" i="17"/>
  <c r="D54" i="17"/>
  <c r="D56" i="17"/>
  <c r="D43" i="17"/>
  <c r="D57" i="17"/>
  <c r="C45" i="17"/>
  <c r="C46" i="17"/>
  <c r="C47" i="17"/>
  <c r="C48" i="17"/>
  <c r="C49" i="17"/>
  <c r="C51" i="17"/>
  <c r="C52" i="17"/>
  <c r="C53" i="17"/>
  <c r="C54" i="17"/>
  <c r="C56" i="17"/>
  <c r="C43" i="17"/>
  <c r="C57" i="17"/>
  <c r="L42" i="17"/>
  <c r="K42" i="17"/>
  <c r="J42" i="17"/>
  <c r="I42" i="17"/>
  <c r="H42" i="17"/>
  <c r="G42" i="17"/>
  <c r="F42" i="17"/>
  <c r="E42" i="17"/>
  <c r="D42" i="17"/>
  <c r="C42" i="17"/>
  <c r="L41" i="17"/>
  <c r="K41" i="17"/>
  <c r="J41" i="17"/>
  <c r="I41" i="17"/>
  <c r="H41" i="17"/>
  <c r="G41" i="17"/>
  <c r="F41" i="17"/>
  <c r="E41" i="17"/>
  <c r="D41" i="17"/>
  <c r="C41" i="17"/>
  <c r="L40" i="17"/>
  <c r="K40" i="17"/>
  <c r="J40" i="17"/>
  <c r="I40" i="17"/>
  <c r="H40" i="17"/>
  <c r="G40" i="17"/>
  <c r="F40" i="17"/>
  <c r="E40" i="17"/>
  <c r="D40" i="17"/>
  <c r="C40" i="17"/>
  <c r="L39" i="17"/>
  <c r="K39" i="17"/>
  <c r="J39" i="17"/>
  <c r="I39" i="17"/>
  <c r="H39" i="17"/>
  <c r="G39" i="17"/>
  <c r="F39" i="17"/>
  <c r="E39" i="17"/>
  <c r="D39" i="17"/>
  <c r="C39" i="17"/>
  <c r="L6" i="17"/>
  <c r="L8" i="17"/>
  <c r="L10" i="17"/>
  <c r="L12" i="17"/>
  <c r="L14" i="17"/>
  <c r="L16" i="17"/>
  <c r="L18" i="17"/>
  <c r="L20" i="17"/>
  <c r="L22" i="17"/>
  <c r="L24" i="17"/>
  <c r="L26" i="17"/>
  <c r="L29" i="17"/>
  <c r="L31" i="17"/>
  <c r="L33" i="17"/>
  <c r="L34" i="17"/>
  <c r="L35" i="17"/>
  <c r="K6" i="17"/>
  <c r="K8" i="17"/>
  <c r="K10" i="17"/>
  <c r="K12" i="17"/>
  <c r="K14" i="17"/>
  <c r="K16" i="17"/>
  <c r="K18" i="17"/>
  <c r="K20" i="17"/>
  <c r="K22" i="17"/>
  <c r="K24" i="17"/>
  <c r="K26" i="17"/>
  <c r="K29" i="17"/>
  <c r="K31" i="17"/>
  <c r="K33" i="17"/>
  <c r="K34" i="17"/>
  <c r="K35" i="17"/>
  <c r="J6" i="17"/>
  <c r="J8" i="17"/>
  <c r="J10" i="17"/>
  <c r="J12" i="17"/>
  <c r="J14" i="17"/>
  <c r="J16" i="17"/>
  <c r="J18" i="17"/>
  <c r="J20" i="17"/>
  <c r="J22" i="17"/>
  <c r="J24" i="17"/>
  <c r="J26" i="17"/>
  <c r="J29" i="17"/>
  <c r="J31" i="17"/>
  <c r="J33" i="17"/>
  <c r="J34" i="17"/>
  <c r="J35" i="17"/>
  <c r="I6" i="17"/>
  <c r="I8" i="17"/>
  <c r="I10" i="17"/>
  <c r="I12" i="17"/>
  <c r="I14" i="17"/>
  <c r="I16" i="17"/>
  <c r="I18" i="17"/>
  <c r="I20" i="17"/>
  <c r="I22" i="17"/>
  <c r="I24" i="17"/>
  <c r="I26" i="17"/>
  <c r="I29" i="17"/>
  <c r="I31" i="17"/>
  <c r="I33" i="17"/>
  <c r="I34" i="17"/>
  <c r="I35" i="17"/>
  <c r="H6" i="17"/>
  <c r="H8" i="17"/>
  <c r="H10" i="17"/>
  <c r="H12" i="17"/>
  <c r="H14" i="17"/>
  <c r="H16" i="17"/>
  <c r="H18" i="17"/>
  <c r="H20" i="17"/>
  <c r="H22" i="17"/>
  <c r="H24" i="17"/>
  <c r="H26" i="17"/>
  <c r="H29" i="17"/>
  <c r="H31" i="17"/>
  <c r="H33" i="17"/>
  <c r="H34" i="17"/>
  <c r="H35" i="17"/>
  <c r="G6" i="17"/>
  <c r="G8" i="17"/>
  <c r="G10" i="17"/>
  <c r="G12" i="17"/>
  <c r="G14" i="17"/>
  <c r="G16" i="17"/>
  <c r="G18" i="17"/>
  <c r="G20" i="17"/>
  <c r="G22" i="17"/>
  <c r="G24" i="17"/>
  <c r="G26" i="17"/>
  <c r="G29" i="17"/>
  <c r="G31" i="17"/>
  <c r="G33" i="17"/>
  <c r="G34" i="17"/>
  <c r="G35" i="17"/>
  <c r="F6" i="17"/>
  <c r="F8" i="17"/>
  <c r="F10" i="17"/>
  <c r="F12" i="17"/>
  <c r="F14" i="17"/>
  <c r="F16" i="17"/>
  <c r="F18" i="17"/>
  <c r="F20" i="17"/>
  <c r="F22" i="17"/>
  <c r="F24" i="17"/>
  <c r="F26" i="17"/>
  <c r="F29" i="17"/>
  <c r="F31" i="17"/>
  <c r="F33" i="17"/>
  <c r="F34" i="17"/>
  <c r="F35" i="17"/>
  <c r="E6" i="17"/>
  <c r="E8" i="17"/>
  <c r="E10" i="17"/>
  <c r="E12" i="17"/>
  <c r="E14" i="17"/>
  <c r="E16" i="17"/>
  <c r="E18" i="17"/>
  <c r="E20" i="17"/>
  <c r="E22" i="17"/>
  <c r="E24" i="17"/>
  <c r="E26" i="17"/>
  <c r="E29" i="17"/>
  <c r="E31" i="17"/>
  <c r="E33" i="17"/>
  <c r="E35" i="17"/>
  <c r="D6" i="17"/>
  <c r="D8" i="17"/>
  <c r="D10" i="17"/>
  <c r="D12" i="17"/>
  <c r="D14" i="17"/>
  <c r="D16" i="17"/>
  <c r="D18" i="17"/>
  <c r="D20" i="17"/>
  <c r="D22" i="17"/>
  <c r="D24" i="17"/>
  <c r="D26" i="17"/>
  <c r="D29" i="17"/>
  <c r="D31" i="17"/>
  <c r="D33" i="17"/>
  <c r="D34" i="17"/>
  <c r="D35" i="17"/>
  <c r="C6" i="17"/>
  <c r="C8" i="17"/>
  <c r="C10" i="17"/>
  <c r="C12" i="17"/>
  <c r="C14" i="17"/>
  <c r="C16" i="17"/>
  <c r="C18" i="17"/>
  <c r="C20" i="17"/>
  <c r="C22" i="17"/>
  <c r="C24" i="17"/>
  <c r="C26" i="17"/>
  <c r="C29" i="17"/>
  <c r="C31" i="17"/>
  <c r="C33" i="17"/>
  <c r="C34" i="17"/>
  <c r="C35" i="17"/>
  <c r="E34" i="17"/>
  <c r="L32" i="17"/>
  <c r="K32" i="17"/>
  <c r="J32" i="17"/>
  <c r="I32" i="17"/>
  <c r="H32" i="17"/>
  <c r="G32" i="17"/>
  <c r="F32" i="17"/>
  <c r="E32" i="17"/>
  <c r="D32" i="17"/>
  <c r="L27" i="17"/>
  <c r="K27" i="17"/>
  <c r="J27" i="17"/>
  <c r="I27" i="17"/>
  <c r="H27" i="17"/>
  <c r="G27" i="17"/>
  <c r="F27" i="17"/>
  <c r="E27" i="17"/>
  <c r="D27" i="17"/>
  <c r="C27" i="17"/>
  <c r="L25" i="17"/>
  <c r="K25" i="17"/>
  <c r="J25" i="17"/>
  <c r="I25" i="17"/>
  <c r="H25" i="17"/>
  <c r="G25" i="17"/>
  <c r="F25" i="17"/>
  <c r="E25" i="17"/>
  <c r="D25" i="17"/>
  <c r="C25" i="17"/>
  <c r="L23" i="17"/>
  <c r="K23" i="17"/>
  <c r="J23" i="17"/>
  <c r="I23" i="17"/>
  <c r="H23" i="17"/>
  <c r="G23" i="17"/>
  <c r="F23" i="17"/>
  <c r="E23" i="17"/>
  <c r="D23" i="17"/>
  <c r="C23" i="17"/>
  <c r="L21" i="17"/>
  <c r="K21" i="17"/>
  <c r="J21" i="17"/>
  <c r="I21" i="17"/>
  <c r="H21" i="17"/>
  <c r="G21" i="17"/>
  <c r="F21" i="17"/>
  <c r="E21" i="17"/>
  <c r="D21" i="17"/>
  <c r="C21" i="17"/>
  <c r="L19" i="17"/>
  <c r="K19" i="17"/>
  <c r="J19" i="17"/>
  <c r="I19" i="17"/>
  <c r="H19" i="17"/>
  <c r="G19" i="17"/>
  <c r="F19" i="17"/>
  <c r="E19" i="17"/>
  <c r="D19" i="17"/>
  <c r="C19" i="17"/>
  <c r="L17" i="17"/>
  <c r="K17" i="17"/>
  <c r="J17" i="17"/>
  <c r="I17" i="17"/>
  <c r="H17" i="17"/>
  <c r="G17" i="17"/>
  <c r="F17" i="17"/>
  <c r="E17" i="17"/>
  <c r="D17" i="17"/>
  <c r="C17" i="17"/>
  <c r="L15" i="17"/>
  <c r="K15" i="17"/>
  <c r="J15" i="17"/>
  <c r="I15" i="17"/>
  <c r="H15" i="17"/>
  <c r="G15" i="17"/>
  <c r="F15" i="17"/>
  <c r="E15" i="17"/>
  <c r="D15" i="17"/>
  <c r="C15" i="17"/>
  <c r="L13" i="17"/>
  <c r="K13" i="17"/>
  <c r="J13" i="17"/>
  <c r="I13" i="17"/>
  <c r="H13" i="17"/>
  <c r="G13" i="17"/>
  <c r="F13" i="17"/>
  <c r="E13" i="17"/>
  <c r="D13" i="17"/>
  <c r="C13" i="17"/>
  <c r="L11" i="17"/>
  <c r="K11" i="17"/>
  <c r="J11" i="17"/>
  <c r="I11" i="17"/>
  <c r="H11" i="17"/>
  <c r="G11" i="17"/>
  <c r="F11" i="17"/>
  <c r="E11" i="17"/>
  <c r="D11" i="17"/>
  <c r="C11" i="17"/>
  <c r="L9" i="17"/>
  <c r="K9" i="17"/>
  <c r="J9" i="17"/>
  <c r="I9" i="17"/>
  <c r="H9" i="17"/>
  <c r="G9" i="17"/>
  <c r="F9" i="17"/>
  <c r="E9" i="17"/>
  <c r="D9" i="17"/>
  <c r="C9" i="17"/>
  <c r="L7" i="17"/>
  <c r="K7" i="17"/>
  <c r="J7" i="17"/>
  <c r="I7" i="17"/>
  <c r="H7" i="17"/>
  <c r="G7" i="17"/>
  <c r="F7" i="17"/>
  <c r="E7" i="17"/>
  <c r="D7" i="17"/>
  <c r="L3" i="17"/>
  <c r="K3" i="17"/>
  <c r="J3" i="17"/>
  <c r="I3" i="17"/>
  <c r="H3" i="17"/>
  <c r="G3" i="17"/>
  <c r="F3" i="17"/>
  <c r="E3" i="17"/>
  <c r="D3" i="17"/>
  <c r="C3" i="17"/>
  <c r="B2" i="17"/>
  <c r="D40" i="15"/>
  <c r="E40" i="15"/>
  <c r="F40" i="15"/>
  <c r="G40" i="15"/>
  <c r="H40" i="15"/>
  <c r="I40" i="15"/>
  <c r="J40" i="15"/>
  <c r="K40" i="15"/>
  <c r="L40" i="15"/>
  <c r="O40" i="15"/>
  <c r="N40" i="15"/>
  <c r="C40" i="15"/>
  <c r="D39" i="15"/>
  <c r="E39" i="15"/>
  <c r="F39" i="15"/>
  <c r="G39" i="15"/>
  <c r="H39" i="15"/>
  <c r="I39" i="15"/>
  <c r="J39" i="15"/>
  <c r="K39" i="15"/>
  <c r="L39" i="15"/>
  <c r="O39" i="15"/>
  <c r="N39" i="15"/>
  <c r="C39" i="15"/>
  <c r="D38" i="15"/>
  <c r="E38" i="15"/>
  <c r="F38" i="15"/>
  <c r="G38" i="15"/>
  <c r="H38" i="15"/>
  <c r="I38" i="15"/>
  <c r="J38" i="15"/>
  <c r="K38" i="15"/>
  <c r="L38" i="15"/>
  <c r="O38" i="15"/>
  <c r="N38" i="15"/>
  <c r="C38" i="15"/>
  <c r="D27" i="15"/>
  <c r="D33" i="15"/>
  <c r="D29" i="15"/>
  <c r="D35" i="15"/>
  <c r="D28" i="15"/>
  <c r="D34" i="15"/>
  <c r="D36" i="15"/>
  <c r="E27" i="15"/>
  <c r="E33" i="15"/>
  <c r="E29" i="15"/>
  <c r="E35" i="15"/>
  <c r="E28" i="15"/>
  <c r="E34" i="15"/>
  <c r="E36" i="15"/>
  <c r="F27" i="15"/>
  <c r="F33" i="15"/>
  <c r="F29" i="15"/>
  <c r="F35" i="15"/>
  <c r="F28" i="15"/>
  <c r="F34" i="15"/>
  <c r="F36" i="15"/>
  <c r="G27" i="15"/>
  <c r="G33" i="15"/>
  <c r="G29" i="15"/>
  <c r="G35" i="15"/>
  <c r="G28" i="15"/>
  <c r="G34" i="15"/>
  <c r="G36" i="15"/>
  <c r="H27" i="15"/>
  <c r="H33" i="15"/>
  <c r="H29" i="15"/>
  <c r="H35" i="15"/>
  <c r="H28" i="15"/>
  <c r="H34" i="15"/>
  <c r="H36" i="15"/>
  <c r="I27" i="15"/>
  <c r="I33" i="15"/>
  <c r="I29" i="15"/>
  <c r="I35" i="15"/>
  <c r="I28" i="15"/>
  <c r="I34" i="15"/>
  <c r="I36" i="15"/>
  <c r="J27" i="15"/>
  <c r="J33" i="15"/>
  <c r="J29" i="15"/>
  <c r="J35" i="15"/>
  <c r="J28" i="15"/>
  <c r="J34" i="15"/>
  <c r="J36" i="15"/>
  <c r="K27" i="15"/>
  <c r="K33" i="15"/>
  <c r="K29" i="15"/>
  <c r="K35" i="15"/>
  <c r="K28" i="15"/>
  <c r="K34" i="15"/>
  <c r="K36" i="15"/>
  <c r="L27" i="15"/>
  <c r="L33" i="15"/>
  <c r="L29" i="15"/>
  <c r="L35" i="15"/>
  <c r="L28" i="15"/>
  <c r="L34" i="15"/>
  <c r="L36" i="15"/>
  <c r="O36" i="15"/>
  <c r="N36" i="15"/>
  <c r="C27" i="15"/>
  <c r="C33" i="15"/>
  <c r="C29" i="15"/>
  <c r="C35" i="15"/>
  <c r="C28" i="15"/>
  <c r="C34" i="15"/>
  <c r="C36" i="15"/>
  <c r="O35" i="15"/>
  <c r="N35" i="15"/>
  <c r="O34" i="15"/>
  <c r="N34" i="15"/>
  <c r="O33" i="15"/>
  <c r="N33" i="15"/>
  <c r="D31" i="15"/>
  <c r="E31" i="15"/>
  <c r="F31" i="15"/>
  <c r="G31" i="15"/>
  <c r="H31" i="15"/>
  <c r="I31" i="15"/>
  <c r="J31" i="15"/>
  <c r="K31" i="15"/>
  <c r="L31" i="15"/>
  <c r="O31" i="15"/>
  <c r="N31" i="15"/>
  <c r="C31" i="15"/>
  <c r="D30" i="15"/>
  <c r="E30" i="15"/>
  <c r="F30" i="15"/>
  <c r="G30" i="15"/>
  <c r="H30" i="15"/>
  <c r="I30" i="15"/>
  <c r="J30" i="15"/>
  <c r="K30" i="15"/>
  <c r="L30" i="15"/>
  <c r="O30" i="15"/>
  <c r="N30" i="15"/>
  <c r="C30" i="15"/>
  <c r="O29" i="15"/>
  <c r="N29" i="15"/>
  <c r="O28" i="15"/>
  <c r="N28" i="15"/>
  <c r="O27" i="15"/>
  <c r="N27" i="15"/>
  <c r="D25" i="15"/>
  <c r="E25" i="15"/>
  <c r="F25" i="15"/>
  <c r="G25" i="15"/>
  <c r="H25" i="15"/>
  <c r="I25" i="15"/>
  <c r="J25" i="15"/>
  <c r="K25" i="15"/>
  <c r="L25" i="15"/>
  <c r="O25" i="15"/>
  <c r="N25" i="15"/>
  <c r="C25" i="15"/>
  <c r="D22" i="15"/>
  <c r="D23" i="15"/>
  <c r="D24" i="15"/>
  <c r="E22" i="15"/>
  <c r="E23" i="15"/>
  <c r="E24" i="15"/>
  <c r="F22" i="15"/>
  <c r="F23" i="15"/>
  <c r="F24" i="15"/>
  <c r="G22" i="15"/>
  <c r="G23" i="15"/>
  <c r="G24" i="15"/>
  <c r="H22" i="15"/>
  <c r="H23" i="15"/>
  <c r="H24" i="15"/>
  <c r="I22" i="15"/>
  <c r="I23" i="15"/>
  <c r="I24" i="15"/>
  <c r="J22" i="15"/>
  <c r="J23" i="15"/>
  <c r="J24" i="15"/>
  <c r="K22" i="15"/>
  <c r="K23" i="15"/>
  <c r="K24" i="15"/>
  <c r="L22" i="15"/>
  <c r="L23" i="15"/>
  <c r="L24" i="15"/>
  <c r="O24" i="15"/>
  <c r="N24" i="15"/>
  <c r="C22" i="15"/>
  <c r="C23" i="15"/>
  <c r="C24" i="15"/>
  <c r="O23" i="15"/>
  <c r="N23" i="15"/>
  <c r="O22" i="15"/>
  <c r="N22" i="15"/>
  <c r="D21" i="15"/>
  <c r="E21" i="15"/>
  <c r="F21" i="15"/>
  <c r="G21" i="15"/>
  <c r="H21" i="15"/>
  <c r="I21" i="15"/>
  <c r="J21" i="15"/>
  <c r="K21" i="15"/>
  <c r="L21" i="15"/>
  <c r="O21" i="15"/>
  <c r="N21" i="15"/>
  <c r="C21" i="15"/>
  <c r="D13" i="15"/>
  <c r="D19" i="15"/>
  <c r="E13" i="15"/>
  <c r="E19" i="15"/>
  <c r="F13" i="15"/>
  <c r="F19" i="15"/>
  <c r="G13" i="15"/>
  <c r="G19" i="15"/>
  <c r="H13" i="15"/>
  <c r="H19" i="15"/>
  <c r="I13" i="15"/>
  <c r="I19" i="15"/>
  <c r="J13" i="15"/>
  <c r="J19" i="15"/>
  <c r="K13" i="15"/>
  <c r="K19" i="15"/>
  <c r="L13" i="15"/>
  <c r="L19" i="15"/>
  <c r="O19" i="15"/>
  <c r="N19" i="15"/>
  <c r="C13" i="15"/>
  <c r="C19" i="15"/>
  <c r="D18" i="15"/>
  <c r="E18" i="15"/>
  <c r="F18" i="15"/>
  <c r="G18" i="15"/>
  <c r="H18" i="15"/>
  <c r="I18" i="15"/>
  <c r="J18" i="15"/>
  <c r="K18" i="15"/>
  <c r="L18" i="15"/>
  <c r="O18" i="15"/>
  <c r="N18" i="15"/>
  <c r="C18" i="15"/>
  <c r="D17" i="15"/>
  <c r="E17" i="15"/>
  <c r="F17" i="15"/>
  <c r="G17" i="15"/>
  <c r="H17" i="15"/>
  <c r="I17" i="15"/>
  <c r="J17" i="15"/>
  <c r="K17" i="15"/>
  <c r="L17" i="15"/>
  <c r="O17" i="15"/>
  <c r="N17" i="15"/>
  <c r="C17" i="15"/>
  <c r="D15" i="15"/>
  <c r="E15" i="15"/>
  <c r="F15" i="15"/>
  <c r="G15" i="15"/>
  <c r="H15" i="15"/>
  <c r="I15" i="15"/>
  <c r="J15" i="15"/>
  <c r="K15" i="15"/>
  <c r="L15" i="15"/>
  <c r="O15" i="15"/>
  <c r="N15" i="15"/>
  <c r="C15" i="15"/>
  <c r="D14" i="15"/>
  <c r="E14" i="15"/>
  <c r="F14" i="15"/>
  <c r="G14" i="15"/>
  <c r="H14" i="15"/>
  <c r="I14" i="15"/>
  <c r="J14" i="15"/>
  <c r="K14" i="15"/>
  <c r="L14" i="15"/>
  <c r="O14" i="15"/>
  <c r="N14" i="15"/>
  <c r="C14" i="15"/>
  <c r="O13" i="15"/>
  <c r="N13" i="15"/>
  <c r="D12" i="15"/>
  <c r="E12" i="15"/>
  <c r="F12" i="15"/>
  <c r="G12" i="15"/>
  <c r="H12" i="15"/>
  <c r="I12" i="15"/>
  <c r="J12" i="15"/>
  <c r="K12" i="15"/>
  <c r="L12" i="15"/>
  <c r="O12" i="15"/>
  <c r="N12" i="15"/>
  <c r="C12" i="15"/>
  <c r="D11" i="15"/>
  <c r="E11" i="15"/>
  <c r="F11" i="15"/>
  <c r="G11" i="15"/>
  <c r="H11" i="15"/>
  <c r="I11" i="15"/>
  <c r="J11" i="15"/>
  <c r="K11" i="15"/>
  <c r="L11" i="15"/>
  <c r="O11" i="15"/>
  <c r="N11" i="15"/>
  <c r="C11" i="15"/>
  <c r="D9" i="15"/>
  <c r="E9" i="15"/>
  <c r="F9" i="15"/>
  <c r="G9" i="15"/>
  <c r="H9" i="15"/>
  <c r="I9" i="15"/>
  <c r="J9" i="15"/>
  <c r="K9" i="15"/>
  <c r="L9" i="15"/>
  <c r="O9" i="15"/>
  <c r="N9" i="15"/>
  <c r="D8" i="15"/>
  <c r="E8" i="15"/>
  <c r="F8" i="15"/>
  <c r="G8" i="15"/>
  <c r="H8" i="15"/>
  <c r="I8" i="15"/>
  <c r="J8" i="15"/>
  <c r="K8" i="15"/>
  <c r="L8" i="15"/>
  <c r="O8" i="15"/>
  <c r="N8" i="15"/>
  <c r="D7" i="15"/>
  <c r="E7" i="15"/>
  <c r="F7" i="15"/>
  <c r="G7" i="15"/>
  <c r="H7" i="15"/>
  <c r="I7" i="15"/>
  <c r="J7" i="15"/>
  <c r="K7" i="15"/>
  <c r="L7" i="15"/>
  <c r="O7" i="15"/>
  <c r="N7" i="15"/>
  <c r="D6" i="15"/>
  <c r="E6" i="15"/>
  <c r="F6" i="15"/>
  <c r="G6" i="15"/>
  <c r="H6" i="15"/>
  <c r="I6" i="15"/>
  <c r="J6" i="15"/>
  <c r="K6" i="15"/>
  <c r="L6" i="15"/>
  <c r="O6" i="15"/>
  <c r="N6" i="15"/>
  <c r="D5" i="15"/>
  <c r="E5" i="15"/>
  <c r="F5" i="15"/>
  <c r="G5" i="15"/>
  <c r="H5" i="15"/>
  <c r="I5" i="15"/>
  <c r="J5" i="15"/>
  <c r="K5" i="15"/>
  <c r="L5" i="15"/>
  <c r="O5" i="15"/>
  <c r="N5" i="15"/>
  <c r="L3" i="15"/>
  <c r="K3" i="15"/>
  <c r="J3" i="15"/>
  <c r="I3" i="15"/>
  <c r="H3" i="15"/>
  <c r="G3" i="15"/>
  <c r="F3" i="15"/>
  <c r="E3" i="15"/>
  <c r="D3" i="15"/>
  <c r="C3" i="15"/>
  <c r="B2" i="15"/>
  <c r="L44" i="14"/>
  <c r="K44" i="14"/>
  <c r="J44" i="14"/>
  <c r="I44" i="14"/>
  <c r="H44" i="14"/>
  <c r="G44" i="14"/>
  <c r="F44" i="14"/>
  <c r="E44" i="14"/>
  <c r="D44" i="14"/>
  <c r="C44" i="14"/>
  <c r="L42" i="14"/>
  <c r="K42" i="14"/>
  <c r="J42" i="14"/>
  <c r="I42" i="14"/>
  <c r="H42" i="14"/>
  <c r="G42" i="14"/>
  <c r="F42" i="14"/>
  <c r="E42" i="14"/>
  <c r="D42" i="14"/>
  <c r="C42" i="14"/>
  <c r="L41" i="14"/>
  <c r="K41" i="14"/>
  <c r="J41" i="14"/>
  <c r="I41" i="14"/>
  <c r="H41" i="14"/>
  <c r="G41" i="14"/>
  <c r="F41" i="14"/>
  <c r="E41" i="14"/>
  <c r="D41" i="14"/>
  <c r="C41" i="14"/>
  <c r="L40" i="14"/>
  <c r="K40" i="14"/>
  <c r="J40" i="14"/>
  <c r="I40" i="14"/>
  <c r="H40" i="14"/>
  <c r="G40" i="14"/>
  <c r="F40" i="14"/>
  <c r="E40" i="14"/>
  <c r="D40" i="14"/>
  <c r="C40" i="14"/>
  <c r="L39" i="14"/>
  <c r="K39" i="14"/>
  <c r="J39" i="14"/>
  <c r="I39" i="14"/>
  <c r="H39" i="14"/>
  <c r="G39" i="14"/>
  <c r="F39" i="14"/>
  <c r="E39" i="14"/>
  <c r="D39" i="14"/>
  <c r="C39" i="14"/>
  <c r="L37" i="14"/>
  <c r="K37" i="14"/>
  <c r="J37" i="14"/>
  <c r="I37" i="14"/>
  <c r="H37" i="14"/>
  <c r="G37" i="14"/>
  <c r="F37" i="14"/>
  <c r="E37" i="14"/>
  <c r="D37" i="14"/>
  <c r="C37" i="14"/>
  <c r="L36" i="14"/>
  <c r="K36" i="14"/>
  <c r="J36" i="14"/>
  <c r="I36" i="14"/>
  <c r="H36" i="14"/>
  <c r="G36" i="14"/>
  <c r="F36" i="14"/>
  <c r="E36" i="14"/>
  <c r="D36" i="14"/>
  <c r="C36" i="14"/>
  <c r="L35" i="14"/>
  <c r="K35" i="14"/>
  <c r="J35" i="14"/>
  <c r="I35" i="14"/>
  <c r="H35" i="14"/>
  <c r="G35" i="14"/>
  <c r="F35" i="14"/>
  <c r="E35" i="14"/>
  <c r="D35" i="14"/>
  <c r="C35" i="14"/>
  <c r="L34" i="14"/>
  <c r="K34" i="14"/>
  <c r="J34" i="14"/>
  <c r="I34" i="14"/>
  <c r="H34" i="14"/>
  <c r="G34" i="14"/>
  <c r="F34" i="14"/>
  <c r="E34" i="14"/>
  <c r="D34" i="14"/>
  <c r="C34" i="14"/>
  <c r="L33" i="14"/>
  <c r="K33" i="14"/>
  <c r="J33" i="14"/>
  <c r="I33" i="14"/>
  <c r="H33" i="14"/>
  <c r="G33" i="14"/>
  <c r="F33" i="14"/>
  <c r="E33" i="14"/>
  <c r="D33" i="14"/>
  <c r="C33" i="14"/>
  <c r="L31" i="14"/>
  <c r="K31" i="14"/>
  <c r="J31" i="14"/>
  <c r="I31" i="14"/>
  <c r="H31" i="14"/>
  <c r="G31" i="14"/>
  <c r="F31" i="14"/>
  <c r="E31" i="14"/>
  <c r="D31" i="14"/>
  <c r="C31" i="14"/>
  <c r="L30" i="14"/>
  <c r="K30" i="14"/>
  <c r="J30" i="14"/>
  <c r="I30" i="14"/>
  <c r="H30" i="14"/>
  <c r="G30" i="14"/>
  <c r="F30" i="14"/>
  <c r="E30" i="14"/>
  <c r="D30" i="14"/>
  <c r="C30" i="14"/>
  <c r="L29" i="14"/>
  <c r="K29" i="14"/>
  <c r="J29" i="14"/>
  <c r="I29" i="14"/>
  <c r="H29" i="14"/>
  <c r="G29" i="14"/>
  <c r="F29" i="14"/>
  <c r="E29" i="14"/>
  <c r="D29" i="14"/>
  <c r="C29" i="14"/>
  <c r="L28" i="14"/>
  <c r="K28" i="14"/>
  <c r="J28" i="14"/>
  <c r="I28" i="14"/>
  <c r="H28" i="14"/>
  <c r="G28" i="14"/>
  <c r="F28" i="14"/>
  <c r="E28" i="14"/>
  <c r="D28" i="14"/>
  <c r="C28" i="14"/>
  <c r="L27" i="14"/>
  <c r="K27" i="14"/>
  <c r="J27" i="14"/>
  <c r="I27" i="14"/>
  <c r="H27" i="14"/>
  <c r="G27" i="14"/>
  <c r="F27" i="14"/>
  <c r="E27" i="14"/>
  <c r="D27" i="14"/>
  <c r="C27" i="14"/>
  <c r="L25" i="14"/>
  <c r="K25" i="14"/>
  <c r="J25" i="14"/>
  <c r="I25" i="14"/>
  <c r="H25" i="14"/>
  <c r="G25" i="14"/>
  <c r="F25" i="14"/>
  <c r="E25" i="14"/>
  <c r="D25" i="14"/>
  <c r="C25" i="14"/>
  <c r="B23" i="14"/>
  <c r="L20" i="14"/>
  <c r="K20" i="14"/>
  <c r="J20" i="14"/>
  <c r="I20" i="14"/>
  <c r="H20" i="14"/>
  <c r="G20" i="14"/>
  <c r="F20" i="14"/>
  <c r="E20" i="14"/>
  <c r="D20" i="14"/>
  <c r="C20" i="14"/>
  <c r="L19" i="14"/>
  <c r="K19" i="14"/>
  <c r="J19" i="14"/>
  <c r="I19" i="14"/>
  <c r="H19" i="14"/>
  <c r="G19" i="14"/>
  <c r="F19" i="14"/>
  <c r="E19" i="14"/>
  <c r="D19" i="14"/>
  <c r="C19" i="14"/>
  <c r="L18" i="14"/>
  <c r="K18" i="14"/>
  <c r="J18" i="14"/>
  <c r="I18" i="14"/>
  <c r="H18" i="14"/>
  <c r="G18" i="14"/>
  <c r="F18" i="14"/>
  <c r="E18" i="14"/>
  <c r="D18" i="14"/>
  <c r="C18" i="14"/>
  <c r="L17" i="14"/>
  <c r="K17" i="14"/>
  <c r="J17" i="14"/>
  <c r="I17" i="14"/>
  <c r="H17" i="14"/>
  <c r="G17" i="14"/>
  <c r="F17" i="14"/>
  <c r="E17" i="14"/>
  <c r="D17" i="14"/>
  <c r="C17" i="14"/>
  <c r="L16" i="14"/>
  <c r="K16" i="14"/>
  <c r="J16" i="14"/>
  <c r="I16" i="14"/>
  <c r="H16" i="14"/>
  <c r="G16" i="14"/>
  <c r="F16" i="14"/>
  <c r="E16" i="14"/>
  <c r="D16" i="14"/>
  <c r="C16" i="14"/>
  <c r="L15" i="14"/>
  <c r="K15" i="14"/>
  <c r="J15" i="14"/>
  <c r="I15" i="14"/>
  <c r="H15" i="14"/>
  <c r="G15" i="14"/>
  <c r="F15" i="14"/>
  <c r="E15" i="14"/>
  <c r="D15" i="14"/>
  <c r="C15" i="14"/>
  <c r="L14" i="14"/>
  <c r="K14" i="14"/>
  <c r="J14" i="14"/>
  <c r="I14" i="14"/>
  <c r="H14" i="14"/>
  <c r="G14" i="14"/>
  <c r="F14" i="14"/>
  <c r="E14" i="14"/>
  <c r="D14" i="14"/>
  <c r="C14" i="14"/>
  <c r="L13" i="14"/>
  <c r="K13" i="14"/>
  <c r="J13" i="14"/>
  <c r="I13" i="14"/>
  <c r="H13" i="14"/>
  <c r="G13" i="14"/>
  <c r="F13" i="14"/>
  <c r="E13" i="14"/>
  <c r="D13" i="14"/>
  <c r="C13" i="14"/>
  <c r="L12" i="14"/>
  <c r="K12" i="14"/>
  <c r="J12" i="14"/>
  <c r="I12" i="14"/>
  <c r="H12" i="14"/>
  <c r="G12" i="14"/>
  <c r="F12" i="14"/>
  <c r="E12" i="14"/>
  <c r="D12" i="14"/>
  <c r="C12" i="14"/>
  <c r="L11" i="14"/>
  <c r="K11" i="14"/>
  <c r="J11" i="14"/>
  <c r="I11" i="14"/>
  <c r="H11" i="14"/>
  <c r="G11" i="14"/>
  <c r="F11" i="14"/>
  <c r="E11" i="14"/>
  <c r="D11" i="14"/>
  <c r="C11" i="14"/>
  <c r="L10" i="14"/>
  <c r="K10" i="14"/>
  <c r="J10" i="14"/>
  <c r="I10" i="14"/>
  <c r="H10" i="14"/>
  <c r="G10" i="14"/>
  <c r="F10" i="14"/>
  <c r="E10" i="14"/>
  <c r="D10" i="14"/>
  <c r="C10" i="14"/>
  <c r="L9" i="14"/>
  <c r="K9" i="14"/>
  <c r="J9" i="14"/>
  <c r="I9" i="14"/>
  <c r="H9" i="14"/>
  <c r="G9" i="14"/>
  <c r="F9" i="14"/>
  <c r="E9" i="14"/>
  <c r="D9" i="14"/>
  <c r="C9" i="14"/>
  <c r="L8" i="14"/>
  <c r="K8" i="14"/>
  <c r="J8" i="14"/>
  <c r="I8" i="14"/>
  <c r="H8" i="14"/>
  <c r="G8" i="14"/>
  <c r="F8" i="14"/>
  <c r="E8" i="14"/>
  <c r="D8" i="14"/>
  <c r="C8" i="14"/>
  <c r="L7" i="14"/>
  <c r="K7" i="14"/>
  <c r="J7" i="14"/>
  <c r="I7" i="14"/>
  <c r="H7" i="14"/>
  <c r="G7" i="14"/>
  <c r="F7" i="14"/>
  <c r="E7" i="14"/>
  <c r="D7" i="14"/>
  <c r="C7" i="14"/>
  <c r="L6" i="14"/>
  <c r="K6" i="14"/>
  <c r="J6" i="14"/>
  <c r="I6" i="14"/>
  <c r="H6" i="14"/>
  <c r="G6" i="14"/>
  <c r="F6" i="14"/>
  <c r="E6" i="14"/>
  <c r="D6" i="14"/>
  <c r="C6" i="14"/>
  <c r="L4" i="14"/>
  <c r="K4" i="14"/>
  <c r="J4" i="14"/>
  <c r="I4" i="14"/>
  <c r="H4" i="14"/>
  <c r="G4" i="14"/>
  <c r="F4" i="14"/>
  <c r="E4" i="14"/>
  <c r="D4" i="14"/>
  <c r="C4" i="14"/>
  <c r="B2" i="14"/>
  <c r="E32" i="12"/>
  <c r="C25" i="12"/>
  <c r="C24" i="12"/>
  <c r="C23" i="12"/>
  <c r="C22" i="12"/>
  <c r="E18" i="12"/>
  <c r="D18" i="12"/>
  <c r="C15" i="12"/>
  <c r="C16" i="12"/>
  <c r="C17" i="12"/>
  <c r="C18" i="12"/>
  <c r="C11" i="12"/>
  <c r="E7" i="12"/>
  <c r="T9" i="5"/>
  <c r="D8" i="7"/>
  <c r="D10" i="7"/>
  <c r="D11" i="7"/>
  <c r="D12" i="7"/>
  <c r="D9" i="7"/>
  <c r="D13" i="7"/>
  <c r="D15" i="7"/>
  <c r="T17" i="5"/>
  <c r="D16" i="7"/>
  <c r="D17" i="7"/>
  <c r="T19" i="5"/>
  <c r="D18" i="7"/>
  <c r="D19" i="7"/>
  <c r="D20" i="7"/>
  <c r="D21" i="7"/>
  <c r="E36" i="11"/>
  <c r="C36" i="11"/>
  <c r="E35" i="11"/>
  <c r="C35" i="11"/>
  <c r="E34" i="11"/>
  <c r="C34" i="11"/>
  <c r="F7" i="6"/>
  <c r="F9" i="6"/>
  <c r="F10" i="6"/>
  <c r="F11" i="6"/>
  <c r="F8" i="6"/>
  <c r="F12" i="6"/>
  <c r="U17" i="5"/>
  <c r="F15" i="6"/>
  <c r="F14" i="6"/>
  <c r="F16" i="6"/>
  <c r="U19" i="5"/>
  <c r="F17" i="6"/>
  <c r="F18" i="6"/>
  <c r="F19" i="6"/>
  <c r="F20" i="6"/>
  <c r="E33" i="11"/>
  <c r="C33" i="11"/>
  <c r="E32" i="11"/>
  <c r="C32" i="11"/>
  <c r="E31" i="11"/>
  <c r="C31" i="11"/>
  <c r="D14" i="7"/>
  <c r="E29" i="11"/>
  <c r="C29" i="11"/>
  <c r="E28" i="11"/>
  <c r="C28" i="11"/>
  <c r="E27" i="11"/>
  <c r="C27" i="11"/>
  <c r="E26" i="11"/>
  <c r="C26" i="11"/>
  <c r="E25" i="11"/>
  <c r="C25" i="11"/>
  <c r="E24" i="11"/>
  <c r="C24" i="11"/>
  <c r="F13" i="6"/>
  <c r="E22" i="11"/>
  <c r="C22" i="11"/>
  <c r="E21" i="11"/>
  <c r="C21" i="11"/>
  <c r="E20" i="11"/>
  <c r="C20" i="11"/>
  <c r="E19" i="11"/>
  <c r="C19" i="11"/>
  <c r="E18" i="11"/>
  <c r="C18" i="11"/>
  <c r="E17" i="11"/>
  <c r="C17" i="11"/>
  <c r="E15" i="11"/>
  <c r="E14" i="11"/>
  <c r="C8" i="9"/>
  <c r="C14" i="11"/>
  <c r="AD9" i="5"/>
  <c r="C8" i="8"/>
  <c r="AE9" i="5"/>
  <c r="D8" i="8"/>
  <c r="AF9" i="5"/>
  <c r="E8" i="8"/>
  <c r="D6" i="10"/>
  <c r="Q9" i="5"/>
  <c r="C7" i="6"/>
  <c r="C7" i="8"/>
  <c r="R9" i="5"/>
  <c r="D7" i="6"/>
  <c r="D7" i="8"/>
  <c r="S9" i="5"/>
  <c r="E7" i="6"/>
  <c r="E7" i="8"/>
  <c r="C6" i="10"/>
  <c r="E6" i="10"/>
  <c r="E13" i="11"/>
  <c r="C13" i="11"/>
  <c r="U9" i="5"/>
  <c r="E8" i="7"/>
  <c r="E10" i="7"/>
  <c r="E11" i="7"/>
  <c r="E12" i="7"/>
  <c r="E9" i="7"/>
  <c r="E13" i="7"/>
  <c r="V9" i="5"/>
  <c r="F8" i="7"/>
  <c r="F10" i="7"/>
  <c r="F11" i="7"/>
  <c r="F12" i="7"/>
  <c r="F9" i="7"/>
  <c r="F13" i="7"/>
  <c r="W9" i="5"/>
  <c r="G8" i="7"/>
  <c r="G10" i="7"/>
  <c r="G11" i="7"/>
  <c r="G12" i="7"/>
  <c r="G9" i="7"/>
  <c r="G13" i="7"/>
  <c r="X9" i="5"/>
  <c r="H8" i="7"/>
  <c r="H10" i="7"/>
  <c r="H11" i="7"/>
  <c r="H12" i="7"/>
  <c r="H9" i="7"/>
  <c r="H13" i="7"/>
  <c r="Y9" i="5"/>
  <c r="I8" i="7"/>
  <c r="I10" i="7"/>
  <c r="I11" i="7"/>
  <c r="I12" i="7"/>
  <c r="I9" i="7"/>
  <c r="I13" i="7"/>
  <c r="Z9" i="5"/>
  <c r="J8" i="7"/>
  <c r="J10" i="7"/>
  <c r="J11" i="7"/>
  <c r="J12" i="7"/>
  <c r="J9" i="7"/>
  <c r="J13" i="7"/>
  <c r="AA9" i="5"/>
  <c r="K8" i="7"/>
  <c r="K10" i="7"/>
  <c r="K11" i="7"/>
  <c r="K12" i="7"/>
  <c r="K9" i="7"/>
  <c r="K13" i="7"/>
  <c r="AB9" i="5"/>
  <c r="L8" i="7"/>
  <c r="L10" i="7"/>
  <c r="L11" i="7"/>
  <c r="L12" i="7"/>
  <c r="L9" i="7"/>
  <c r="L13" i="7"/>
  <c r="AC9" i="5"/>
  <c r="M8" i="7"/>
  <c r="M10" i="7"/>
  <c r="M11" i="7"/>
  <c r="M12" i="7"/>
  <c r="M9" i="7"/>
  <c r="M13" i="7"/>
  <c r="N8" i="7"/>
  <c r="N10" i="7"/>
  <c r="N11" i="7"/>
  <c r="N12" i="7"/>
  <c r="N9" i="7"/>
  <c r="N13" i="7"/>
  <c r="O8" i="7"/>
  <c r="O10" i="7"/>
  <c r="O11" i="7"/>
  <c r="O12" i="7"/>
  <c r="O9" i="7"/>
  <c r="O13" i="7"/>
  <c r="C26" i="7"/>
  <c r="C25" i="7"/>
  <c r="E12" i="11"/>
  <c r="C12" i="11"/>
  <c r="E11" i="11"/>
  <c r="C11" i="11"/>
  <c r="G7" i="6"/>
  <c r="G9" i="6"/>
  <c r="G10" i="6"/>
  <c r="G11" i="6"/>
  <c r="G8" i="6"/>
  <c r="G12" i="6"/>
  <c r="H7" i="6"/>
  <c r="H9" i="6"/>
  <c r="H10" i="6"/>
  <c r="H11" i="6"/>
  <c r="H8" i="6"/>
  <c r="H12" i="6"/>
  <c r="I7" i="6"/>
  <c r="I9" i="6"/>
  <c r="I10" i="6"/>
  <c r="I11" i="6"/>
  <c r="I8" i="6"/>
  <c r="I12" i="6"/>
  <c r="J7" i="6"/>
  <c r="J9" i="6"/>
  <c r="J10" i="6"/>
  <c r="J11" i="6"/>
  <c r="J8" i="6"/>
  <c r="J12" i="6"/>
  <c r="K7" i="6"/>
  <c r="K9" i="6"/>
  <c r="K10" i="6"/>
  <c r="K11" i="6"/>
  <c r="K8" i="6"/>
  <c r="K12" i="6"/>
  <c r="L7" i="6"/>
  <c r="L9" i="6"/>
  <c r="L10" i="6"/>
  <c r="L11" i="6"/>
  <c r="L8" i="6"/>
  <c r="L12" i="6"/>
  <c r="M7" i="6"/>
  <c r="M9" i="6"/>
  <c r="M10" i="6"/>
  <c r="M11" i="6"/>
  <c r="M8" i="6"/>
  <c r="M12" i="6"/>
  <c r="N7" i="6"/>
  <c r="N9" i="6"/>
  <c r="N10" i="6"/>
  <c r="N11" i="6"/>
  <c r="N8" i="6"/>
  <c r="N12" i="6"/>
  <c r="O7" i="6"/>
  <c r="O9" i="6"/>
  <c r="O10" i="6"/>
  <c r="O11" i="6"/>
  <c r="O8" i="6"/>
  <c r="O12" i="6"/>
  <c r="P7" i="6"/>
  <c r="P9" i="6"/>
  <c r="P10" i="6"/>
  <c r="P11" i="6"/>
  <c r="P8" i="6"/>
  <c r="P12" i="6"/>
  <c r="Q7" i="6"/>
  <c r="Q9" i="6"/>
  <c r="Q10" i="6"/>
  <c r="Q11" i="6"/>
  <c r="Q8" i="6"/>
  <c r="Q12" i="6"/>
  <c r="C24" i="6"/>
  <c r="C23" i="6"/>
  <c r="E10" i="11"/>
  <c r="C10" i="11"/>
  <c r="E9" i="11"/>
  <c r="C9" i="11"/>
  <c r="C34" i="5"/>
  <c r="C9" i="5"/>
  <c r="D9" i="5"/>
  <c r="E9" i="5"/>
  <c r="D34" i="5"/>
  <c r="E34" i="5"/>
  <c r="F34" i="5"/>
  <c r="C10" i="5"/>
  <c r="D10" i="5"/>
  <c r="E10" i="5"/>
  <c r="G34" i="5"/>
  <c r="H34" i="5"/>
  <c r="I34" i="5"/>
  <c r="C35" i="5"/>
  <c r="F9" i="5"/>
  <c r="G9" i="5"/>
  <c r="H9" i="5"/>
  <c r="D35" i="5"/>
  <c r="E35" i="5"/>
  <c r="F35" i="5"/>
  <c r="F10" i="5"/>
  <c r="G10" i="5"/>
  <c r="H10" i="5"/>
  <c r="G35" i="5"/>
  <c r="H35" i="5"/>
  <c r="I35" i="5"/>
  <c r="C36" i="5"/>
  <c r="I9" i="5"/>
  <c r="J9" i="5"/>
  <c r="K9" i="5"/>
  <c r="D36" i="5"/>
  <c r="E36" i="5"/>
  <c r="F36" i="5"/>
  <c r="I10" i="5"/>
  <c r="J10" i="5"/>
  <c r="K10" i="5"/>
  <c r="G36" i="5"/>
  <c r="H36" i="5"/>
  <c r="I36" i="5"/>
  <c r="C37" i="5"/>
  <c r="L9" i="5"/>
  <c r="M9" i="5"/>
  <c r="N9" i="5"/>
  <c r="D37" i="5"/>
  <c r="E37" i="5"/>
  <c r="F37" i="5"/>
  <c r="L10" i="5"/>
  <c r="M10" i="5"/>
  <c r="N10" i="5"/>
  <c r="G37" i="5"/>
  <c r="H37" i="5"/>
  <c r="I37" i="5"/>
  <c r="C38" i="5"/>
  <c r="O9" i="5"/>
  <c r="P9" i="5"/>
  <c r="D38" i="5"/>
  <c r="E38" i="5"/>
  <c r="F38" i="5"/>
  <c r="O10" i="5"/>
  <c r="P10" i="5"/>
  <c r="Q10" i="5"/>
  <c r="G38" i="5"/>
  <c r="H38" i="5"/>
  <c r="I38" i="5"/>
  <c r="C39" i="5"/>
  <c r="D39" i="5"/>
  <c r="E39" i="5"/>
  <c r="F39" i="5"/>
  <c r="R10" i="5"/>
  <c r="S10" i="5"/>
  <c r="T10" i="5"/>
  <c r="G39" i="5"/>
  <c r="H39" i="5"/>
  <c r="I39" i="5"/>
  <c r="C40" i="5"/>
  <c r="D40" i="5"/>
  <c r="E40" i="5"/>
  <c r="F40" i="5"/>
  <c r="U10" i="5"/>
  <c r="V10" i="5"/>
  <c r="W10" i="5"/>
  <c r="G40" i="5"/>
  <c r="H40" i="5"/>
  <c r="I40" i="5"/>
  <c r="C41" i="5"/>
  <c r="D41" i="5"/>
  <c r="E41" i="5"/>
  <c r="F41" i="5"/>
  <c r="X10" i="5"/>
  <c r="Y10" i="5"/>
  <c r="Z10" i="5"/>
  <c r="G41" i="5"/>
  <c r="H41" i="5"/>
  <c r="I41" i="5"/>
  <c r="C42" i="5"/>
  <c r="D42" i="5"/>
  <c r="E42" i="5"/>
  <c r="F42" i="5"/>
  <c r="AA10" i="5"/>
  <c r="AB10" i="5"/>
  <c r="AC10" i="5"/>
  <c r="G42" i="5"/>
  <c r="H42" i="5"/>
  <c r="I42" i="5"/>
  <c r="C43" i="5"/>
  <c r="D43" i="5"/>
  <c r="E43" i="5"/>
  <c r="F43" i="5"/>
  <c r="AD10" i="5"/>
  <c r="AE10" i="5"/>
  <c r="AF10" i="5"/>
  <c r="G43" i="5"/>
  <c r="H43" i="5"/>
  <c r="I43" i="5"/>
  <c r="C45" i="5"/>
  <c r="E8" i="11"/>
  <c r="C8" i="11"/>
  <c r="E7" i="11"/>
  <c r="C7" i="11"/>
  <c r="E6" i="11"/>
  <c r="C6" i="11"/>
  <c r="B2" i="11"/>
  <c r="C56" i="9"/>
  <c r="E15" i="7"/>
  <c r="E16" i="7"/>
  <c r="E17" i="7"/>
  <c r="E18" i="7"/>
  <c r="E19" i="7"/>
  <c r="E20" i="7"/>
  <c r="E21" i="7"/>
  <c r="D56" i="9"/>
  <c r="F15" i="7"/>
  <c r="V17" i="5"/>
  <c r="F16" i="7"/>
  <c r="F17" i="7"/>
  <c r="V19" i="5"/>
  <c r="F18" i="7"/>
  <c r="F19" i="7"/>
  <c r="F20" i="7"/>
  <c r="F21" i="7"/>
  <c r="E56" i="9"/>
  <c r="G15" i="7"/>
  <c r="W17" i="5"/>
  <c r="G16" i="7"/>
  <c r="G17" i="7"/>
  <c r="W19" i="5"/>
  <c r="G18" i="7"/>
  <c r="G19" i="7"/>
  <c r="G20" i="7"/>
  <c r="G21" i="7"/>
  <c r="F56" i="9"/>
  <c r="H15" i="7"/>
  <c r="X17" i="5"/>
  <c r="H16" i="7"/>
  <c r="H17" i="7"/>
  <c r="X19" i="5"/>
  <c r="H18" i="7"/>
  <c r="H19" i="7"/>
  <c r="H20" i="7"/>
  <c r="H21" i="7"/>
  <c r="G56" i="9"/>
  <c r="I15" i="7"/>
  <c r="Y17" i="5"/>
  <c r="I16" i="7"/>
  <c r="I17" i="7"/>
  <c r="Y19" i="5"/>
  <c r="I18" i="7"/>
  <c r="I19" i="7"/>
  <c r="I20" i="7"/>
  <c r="I21" i="7"/>
  <c r="H56" i="9"/>
  <c r="J15" i="7"/>
  <c r="Z17" i="5"/>
  <c r="J16" i="7"/>
  <c r="J17" i="7"/>
  <c r="Z19" i="5"/>
  <c r="J18" i="7"/>
  <c r="J19" i="7"/>
  <c r="J20" i="7"/>
  <c r="J21" i="7"/>
  <c r="I56" i="9"/>
  <c r="K15" i="7"/>
  <c r="AA17" i="5"/>
  <c r="K16" i="7"/>
  <c r="K17" i="7"/>
  <c r="AA19" i="5"/>
  <c r="K18" i="7"/>
  <c r="K19" i="7"/>
  <c r="K20" i="7"/>
  <c r="K21" i="7"/>
  <c r="J56" i="9"/>
  <c r="L15" i="7"/>
  <c r="AB17" i="5"/>
  <c r="L16" i="7"/>
  <c r="L17" i="7"/>
  <c r="AB19" i="5"/>
  <c r="L18" i="7"/>
  <c r="L19" i="7"/>
  <c r="L20" i="7"/>
  <c r="L21" i="7"/>
  <c r="K56" i="9"/>
  <c r="M15" i="7"/>
  <c r="AC17" i="5"/>
  <c r="M16" i="7"/>
  <c r="M17" i="7"/>
  <c r="AC19" i="5"/>
  <c r="M18" i="7"/>
  <c r="M19" i="7"/>
  <c r="M20" i="7"/>
  <c r="M21" i="7"/>
  <c r="L56" i="9"/>
  <c r="N15" i="7"/>
  <c r="AD17" i="5"/>
  <c r="N16" i="7"/>
  <c r="N17" i="7"/>
  <c r="AD19" i="5"/>
  <c r="N18" i="7"/>
  <c r="N19" i="7"/>
  <c r="N20" i="7"/>
  <c r="N21" i="7"/>
  <c r="M56" i="9"/>
  <c r="O15" i="7"/>
  <c r="AE17" i="5"/>
  <c r="O16" i="7"/>
  <c r="O17" i="7"/>
  <c r="AE19" i="5"/>
  <c r="O18" i="7"/>
  <c r="O19" i="7"/>
  <c r="O20" i="7"/>
  <c r="O21" i="7"/>
  <c r="N56" i="9"/>
  <c r="D26" i="10"/>
  <c r="C55" i="9"/>
  <c r="G15" i="6"/>
  <c r="G14" i="6"/>
  <c r="G16" i="6"/>
  <c r="G17" i="6"/>
  <c r="G18" i="6"/>
  <c r="G19" i="6"/>
  <c r="G20" i="6"/>
  <c r="D55" i="9"/>
  <c r="H15" i="6"/>
  <c r="H14" i="6"/>
  <c r="H16" i="6"/>
  <c r="H17" i="6"/>
  <c r="H18" i="6"/>
  <c r="H19" i="6"/>
  <c r="H20" i="6"/>
  <c r="E55" i="9"/>
  <c r="I15" i="6"/>
  <c r="I14" i="6"/>
  <c r="I16" i="6"/>
  <c r="I17" i="6"/>
  <c r="I18" i="6"/>
  <c r="I19" i="6"/>
  <c r="I20" i="6"/>
  <c r="F55" i="9"/>
  <c r="J15" i="6"/>
  <c r="J14" i="6"/>
  <c r="J16" i="6"/>
  <c r="J17" i="6"/>
  <c r="J18" i="6"/>
  <c r="J19" i="6"/>
  <c r="J20" i="6"/>
  <c r="G55" i="9"/>
  <c r="K15" i="6"/>
  <c r="K14" i="6"/>
  <c r="K16" i="6"/>
  <c r="K17" i="6"/>
  <c r="K18" i="6"/>
  <c r="K19" i="6"/>
  <c r="K20" i="6"/>
  <c r="H55" i="9"/>
  <c r="L15" i="6"/>
  <c r="L14" i="6"/>
  <c r="L16" i="6"/>
  <c r="L17" i="6"/>
  <c r="L18" i="6"/>
  <c r="L19" i="6"/>
  <c r="L20" i="6"/>
  <c r="I55" i="9"/>
  <c r="M15" i="6"/>
  <c r="M14" i="6"/>
  <c r="M16" i="6"/>
  <c r="M17" i="6"/>
  <c r="M18" i="6"/>
  <c r="M19" i="6"/>
  <c r="M20" i="6"/>
  <c r="J55" i="9"/>
  <c r="N15" i="6"/>
  <c r="N14" i="6"/>
  <c r="N16" i="6"/>
  <c r="N17" i="6"/>
  <c r="N18" i="6"/>
  <c r="N19" i="6"/>
  <c r="N20" i="6"/>
  <c r="K55" i="9"/>
  <c r="O15" i="6"/>
  <c r="O14" i="6"/>
  <c r="O16" i="6"/>
  <c r="O17" i="6"/>
  <c r="O18" i="6"/>
  <c r="O19" i="6"/>
  <c r="O20" i="6"/>
  <c r="L55" i="9"/>
  <c r="P15" i="6"/>
  <c r="P14" i="6"/>
  <c r="P16" i="6"/>
  <c r="P17" i="6"/>
  <c r="P18" i="6"/>
  <c r="P19" i="6"/>
  <c r="P20" i="6"/>
  <c r="M55" i="9"/>
  <c r="AF17" i="5"/>
  <c r="Q15" i="6"/>
  <c r="Q14" i="6"/>
  <c r="Q16" i="6"/>
  <c r="AF19" i="5"/>
  <c r="Q17" i="6"/>
  <c r="Q18" i="6"/>
  <c r="Q19" i="6"/>
  <c r="Q20" i="6"/>
  <c r="N55" i="9"/>
  <c r="C26" i="10"/>
  <c r="E26" i="10"/>
  <c r="G26" i="10"/>
  <c r="F26" i="10"/>
  <c r="C50" i="9"/>
  <c r="D50" i="9"/>
  <c r="E50" i="9"/>
  <c r="F50" i="9"/>
  <c r="G50" i="9"/>
  <c r="H50" i="9"/>
  <c r="I50" i="9"/>
  <c r="J50" i="9"/>
  <c r="K50" i="9"/>
  <c r="L50" i="9"/>
  <c r="M50" i="9"/>
  <c r="N50" i="9"/>
  <c r="D25" i="10"/>
  <c r="C49" i="9"/>
  <c r="D49" i="9"/>
  <c r="E49" i="9"/>
  <c r="F49" i="9"/>
  <c r="G49" i="9"/>
  <c r="H49" i="9"/>
  <c r="I49" i="9"/>
  <c r="J49" i="9"/>
  <c r="K49" i="9"/>
  <c r="L49" i="9"/>
  <c r="M49" i="9"/>
  <c r="N49" i="9"/>
  <c r="C25" i="10"/>
  <c r="E25" i="10"/>
  <c r="G25" i="10"/>
  <c r="F25" i="10"/>
  <c r="C44" i="9"/>
  <c r="D44" i="9"/>
  <c r="E44" i="9"/>
  <c r="F44" i="9"/>
  <c r="G44" i="9"/>
  <c r="H44" i="9"/>
  <c r="I44" i="9"/>
  <c r="J44" i="9"/>
  <c r="K44" i="9"/>
  <c r="L44" i="9"/>
  <c r="M44" i="9"/>
  <c r="N44" i="9"/>
  <c r="D24" i="10"/>
  <c r="C43" i="9"/>
  <c r="D43" i="9"/>
  <c r="E43" i="9"/>
  <c r="F43" i="9"/>
  <c r="G43" i="9"/>
  <c r="H43" i="9"/>
  <c r="I43" i="9"/>
  <c r="J43" i="9"/>
  <c r="K43" i="9"/>
  <c r="L43" i="9"/>
  <c r="M43" i="9"/>
  <c r="N43" i="9"/>
  <c r="C24" i="10"/>
  <c r="E24" i="10"/>
  <c r="G24" i="10"/>
  <c r="F24" i="10"/>
  <c r="C38" i="9"/>
  <c r="D38" i="9"/>
  <c r="E38" i="9"/>
  <c r="F38" i="9"/>
  <c r="G38" i="9"/>
  <c r="H38" i="9"/>
  <c r="I38" i="9"/>
  <c r="J38" i="9"/>
  <c r="K38" i="9"/>
  <c r="L38" i="9"/>
  <c r="M38" i="9"/>
  <c r="N38" i="9"/>
  <c r="D23" i="10"/>
  <c r="C37" i="9"/>
  <c r="D37" i="9"/>
  <c r="E37" i="9"/>
  <c r="F37" i="9"/>
  <c r="G37" i="9"/>
  <c r="H37" i="9"/>
  <c r="I37" i="9"/>
  <c r="J37" i="9"/>
  <c r="K37" i="9"/>
  <c r="L37" i="9"/>
  <c r="M37" i="9"/>
  <c r="N37" i="9"/>
  <c r="C23" i="10"/>
  <c r="E23" i="10"/>
  <c r="G23" i="10"/>
  <c r="F23" i="10"/>
  <c r="C32" i="9"/>
  <c r="D32" i="9"/>
  <c r="E32" i="9"/>
  <c r="F32" i="9"/>
  <c r="G32" i="9"/>
  <c r="H32" i="9"/>
  <c r="I32" i="9"/>
  <c r="J32" i="9"/>
  <c r="K32" i="9"/>
  <c r="L32" i="9"/>
  <c r="M32" i="9"/>
  <c r="N32" i="9"/>
  <c r="D22" i="10"/>
  <c r="C31" i="9"/>
  <c r="D31" i="9"/>
  <c r="E31" i="9"/>
  <c r="F31" i="9"/>
  <c r="G31" i="9"/>
  <c r="H31" i="9"/>
  <c r="I31" i="9"/>
  <c r="J31" i="9"/>
  <c r="K31" i="9"/>
  <c r="L31" i="9"/>
  <c r="M31" i="9"/>
  <c r="N31" i="9"/>
  <c r="C22" i="10"/>
  <c r="E22" i="10"/>
  <c r="G22" i="10"/>
  <c r="F22" i="10"/>
  <c r="C26" i="9"/>
  <c r="D26" i="9"/>
  <c r="E26" i="9"/>
  <c r="F26" i="9"/>
  <c r="G26" i="9"/>
  <c r="H26" i="9"/>
  <c r="I26" i="9"/>
  <c r="J26" i="9"/>
  <c r="K26" i="9"/>
  <c r="L26" i="9"/>
  <c r="M26" i="9"/>
  <c r="N26" i="9"/>
  <c r="D21" i="10"/>
  <c r="C25" i="9"/>
  <c r="D25" i="9"/>
  <c r="E25" i="9"/>
  <c r="F25" i="9"/>
  <c r="G25" i="9"/>
  <c r="H25" i="9"/>
  <c r="I25" i="9"/>
  <c r="J25" i="9"/>
  <c r="K25" i="9"/>
  <c r="L25" i="9"/>
  <c r="M25" i="9"/>
  <c r="N25" i="9"/>
  <c r="C21" i="10"/>
  <c r="E21" i="10"/>
  <c r="G21" i="10"/>
  <c r="F21" i="10"/>
  <c r="C20" i="9"/>
  <c r="D20" i="9"/>
  <c r="E20" i="9"/>
  <c r="F20" i="9"/>
  <c r="G20" i="9"/>
  <c r="H20" i="9"/>
  <c r="I20" i="9"/>
  <c r="J20" i="9"/>
  <c r="K20" i="9"/>
  <c r="L20" i="9"/>
  <c r="M20" i="9"/>
  <c r="N20" i="9"/>
  <c r="D20" i="10"/>
  <c r="C19" i="9"/>
  <c r="D19" i="9"/>
  <c r="E19" i="9"/>
  <c r="F19" i="9"/>
  <c r="G19" i="9"/>
  <c r="H19" i="9"/>
  <c r="I19" i="9"/>
  <c r="J19" i="9"/>
  <c r="K19" i="9"/>
  <c r="L19" i="9"/>
  <c r="M19" i="9"/>
  <c r="N19" i="9"/>
  <c r="C20" i="10"/>
  <c r="E20" i="10"/>
  <c r="G20" i="10"/>
  <c r="F20" i="10"/>
  <c r="C14" i="9"/>
  <c r="D14" i="9"/>
  <c r="E14" i="9"/>
  <c r="F14" i="9"/>
  <c r="G14" i="9"/>
  <c r="H14" i="9"/>
  <c r="I14" i="9"/>
  <c r="J14" i="9"/>
  <c r="K14" i="9"/>
  <c r="L14" i="9"/>
  <c r="M14" i="9"/>
  <c r="N14" i="9"/>
  <c r="D19" i="10"/>
  <c r="C13" i="9"/>
  <c r="D13" i="9"/>
  <c r="E13" i="9"/>
  <c r="F13" i="9"/>
  <c r="G13" i="9"/>
  <c r="H13" i="9"/>
  <c r="I13" i="9"/>
  <c r="J13" i="9"/>
  <c r="K13" i="9"/>
  <c r="L13" i="9"/>
  <c r="M13" i="9"/>
  <c r="N13" i="9"/>
  <c r="C19" i="10"/>
  <c r="E19" i="10"/>
  <c r="G19" i="10"/>
  <c r="F19" i="10"/>
  <c r="D8" i="9"/>
  <c r="E8" i="9"/>
  <c r="F8" i="9"/>
  <c r="G8" i="9"/>
  <c r="H8" i="9"/>
  <c r="I8" i="9"/>
  <c r="J8" i="9"/>
  <c r="K8" i="9"/>
  <c r="L8" i="9"/>
  <c r="M8" i="9"/>
  <c r="N8" i="9"/>
  <c r="D18" i="10"/>
  <c r="C7" i="9"/>
  <c r="D7" i="9"/>
  <c r="E7" i="9"/>
  <c r="F7" i="9"/>
  <c r="G7" i="9"/>
  <c r="H7" i="9"/>
  <c r="I7" i="9"/>
  <c r="J7" i="9"/>
  <c r="K7" i="9"/>
  <c r="L7" i="9"/>
  <c r="M7" i="9"/>
  <c r="N7" i="9"/>
  <c r="C18" i="10"/>
  <c r="E18" i="10"/>
  <c r="G18" i="10"/>
  <c r="F18" i="10"/>
  <c r="AD14" i="5"/>
  <c r="AD16" i="5"/>
  <c r="AD18" i="5"/>
  <c r="AD20" i="5"/>
  <c r="AD21" i="5"/>
  <c r="AD22" i="5"/>
  <c r="C56" i="8"/>
  <c r="AE14" i="5"/>
  <c r="AE16" i="5"/>
  <c r="AE18" i="5"/>
  <c r="AE20" i="5"/>
  <c r="AE21" i="5"/>
  <c r="AE22" i="5"/>
  <c r="D56" i="8"/>
  <c r="AF14" i="5"/>
  <c r="AF16" i="5"/>
  <c r="AF18" i="5"/>
  <c r="AF20" i="5"/>
  <c r="AF21" i="5"/>
  <c r="AF22" i="5"/>
  <c r="E56" i="8"/>
  <c r="D14" i="10"/>
  <c r="C9" i="6"/>
  <c r="C10" i="6"/>
  <c r="C11" i="6"/>
  <c r="C8" i="6"/>
  <c r="C12" i="6"/>
  <c r="R17" i="5"/>
  <c r="C15" i="6"/>
  <c r="C14" i="6"/>
  <c r="C16" i="6"/>
  <c r="R19" i="5"/>
  <c r="C17" i="6"/>
  <c r="C18" i="6"/>
  <c r="C19" i="6"/>
  <c r="C20" i="6"/>
  <c r="C55" i="8"/>
  <c r="D9" i="6"/>
  <c r="D10" i="6"/>
  <c r="D11" i="6"/>
  <c r="D8" i="6"/>
  <c r="D12" i="6"/>
  <c r="S17" i="5"/>
  <c r="D15" i="6"/>
  <c r="D14" i="6"/>
  <c r="D16" i="6"/>
  <c r="S19" i="5"/>
  <c r="D17" i="6"/>
  <c r="D18" i="6"/>
  <c r="D19" i="6"/>
  <c r="D20" i="6"/>
  <c r="D55" i="8"/>
  <c r="E9" i="6"/>
  <c r="E10" i="6"/>
  <c r="E11" i="6"/>
  <c r="E8" i="6"/>
  <c r="E12" i="6"/>
  <c r="E15" i="6"/>
  <c r="E14" i="6"/>
  <c r="E16" i="6"/>
  <c r="E17" i="6"/>
  <c r="E18" i="6"/>
  <c r="E19" i="6"/>
  <c r="E20" i="6"/>
  <c r="E55" i="8"/>
  <c r="C14" i="10"/>
  <c r="E14" i="10"/>
  <c r="G14" i="10"/>
  <c r="F14" i="10"/>
  <c r="C50" i="8"/>
  <c r="D50" i="8"/>
  <c r="E50" i="8"/>
  <c r="D13" i="10"/>
  <c r="C49" i="8"/>
  <c r="D49" i="8"/>
  <c r="E49" i="8"/>
  <c r="C13" i="10"/>
  <c r="E13" i="10"/>
  <c r="G13" i="10"/>
  <c r="F13" i="10"/>
  <c r="C44" i="8"/>
  <c r="D44" i="8"/>
  <c r="E44" i="8"/>
  <c r="D12" i="10"/>
  <c r="C43" i="8"/>
  <c r="D43" i="8"/>
  <c r="E43" i="8"/>
  <c r="C12" i="10"/>
  <c r="E12" i="10"/>
  <c r="G12" i="10"/>
  <c r="F12" i="10"/>
  <c r="C38" i="8"/>
  <c r="D38" i="8"/>
  <c r="E38" i="8"/>
  <c r="D11" i="10"/>
  <c r="C37" i="8"/>
  <c r="D37" i="8"/>
  <c r="E37" i="8"/>
  <c r="C11" i="10"/>
  <c r="E11" i="10"/>
  <c r="G11" i="10"/>
  <c r="F11" i="10"/>
  <c r="C32" i="8"/>
  <c r="D32" i="8"/>
  <c r="E32" i="8"/>
  <c r="D10" i="10"/>
  <c r="C31" i="8"/>
  <c r="D31" i="8"/>
  <c r="E31" i="8"/>
  <c r="C10" i="10"/>
  <c r="E10" i="10"/>
  <c r="G10" i="10"/>
  <c r="F10" i="10"/>
  <c r="AD13" i="5"/>
  <c r="C26" i="8"/>
  <c r="AE13" i="5"/>
  <c r="D26" i="8"/>
  <c r="AF13" i="5"/>
  <c r="E26" i="8"/>
  <c r="D9" i="10"/>
  <c r="C25" i="8"/>
  <c r="D25" i="8"/>
  <c r="E25" i="8"/>
  <c r="C9" i="10"/>
  <c r="E9" i="10"/>
  <c r="G9" i="10"/>
  <c r="F9" i="10"/>
  <c r="AD12" i="5"/>
  <c r="C20" i="8"/>
  <c r="AE12" i="5"/>
  <c r="D20" i="8"/>
  <c r="AF12" i="5"/>
  <c r="E20" i="8"/>
  <c r="D8" i="10"/>
  <c r="C19" i="8"/>
  <c r="D19" i="8"/>
  <c r="E19" i="8"/>
  <c r="C8" i="10"/>
  <c r="E8" i="10"/>
  <c r="G8" i="10"/>
  <c r="F8" i="10"/>
  <c r="AD11" i="5"/>
  <c r="C14" i="8"/>
  <c r="AE11" i="5"/>
  <c r="D14" i="8"/>
  <c r="AF11" i="5"/>
  <c r="E14" i="8"/>
  <c r="D7" i="10"/>
  <c r="C13" i="8"/>
  <c r="D13" i="8"/>
  <c r="E13" i="8"/>
  <c r="C7" i="10"/>
  <c r="E7" i="10"/>
  <c r="G7" i="10"/>
  <c r="F7" i="10"/>
  <c r="G6" i="10"/>
  <c r="F6" i="10"/>
  <c r="B2" i="10"/>
  <c r="N58" i="9"/>
  <c r="M58" i="9"/>
  <c r="L58" i="9"/>
  <c r="K58" i="9"/>
  <c r="J58" i="9"/>
  <c r="I58" i="9"/>
  <c r="H58" i="9"/>
  <c r="G58" i="9"/>
  <c r="F58" i="9"/>
  <c r="E58" i="9"/>
  <c r="D58" i="9"/>
  <c r="C58" i="9"/>
  <c r="N57" i="9"/>
  <c r="M57" i="9"/>
  <c r="L57" i="9"/>
  <c r="K57" i="9"/>
  <c r="J57" i="9"/>
  <c r="I57" i="9"/>
  <c r="H57" i="9"/>
  <c r="G57" i="9"/>
  <c r="F57" i="9"/>
  <c r="E57" i="9"/>
  <c r="D57" i="9"/>
  <c r="C57" i="9"/>
  <c r="N52" i="9"/>
  <c r="M52" i="9"/>
  <c r="L52" i="9"/>
  <c r="K52" i="9"/>
  <c r="J52" i="9"/>
  <c r="I52" i="9"/>
  <c r="H52" i="9"/>
  <c r="G52" i="9"/>
  <c r="F52" i="9"/>
  <c r="E52" i="9"/>
  <c r="D52" i="9"/>
  <c r="C52" i="9"/>
  <c r="N51" i="9"/>
  <c r="M51" i="9"/>
  <c r="L51" i="9"/>
  <c r="K51" i="9"/>
  <c r="J51" i="9"/>
  <c r="I51" i="9"/>
  <c r="H51" i="9"/>
  <c r="G51" i="9"/>
  <c r="F51" i="9"/>
  <c r="E51" i="9"/>
  <c r="D51" i="9"/>
  <c r="C51" i="9"/>
  <c r="N46" i="9"/>
  <c r="M46" i="9"/>
  <c r="L46" i="9"/>
  <c r="K46" i="9"/>
  <c r="J46" i="9"/>
  <c r="I46" i="9"/>
  <c r="H46" i="9"/>
  <c r="G46" i="9"/>
  <c r="F46" i="9"/>
  <c r="E46" i="9"/>
  <c r="D46" i="9"/>
  <c r="C46" i="9"/>
  <c r="N45" i="9"/>
  <c r="M45" i="9"/>
  <c r="L45" i="9"/>
  <c r="K45" i="9"/>
  <c r="J45" i="9"/>
  <c r="I45" i="9"/>
  <c r="H45" i="9"/>
  <c r="G45" i="9"/>
  <c r="F45" i="9"/>
  <c r="E45" i="9"/>
  <c r="D45" i="9"/>
  <c r="C45" i="9"/>
  <c r="N40" i="9"/>
  <c r="M40" i="9"/>
  <c r="L40" i="9"/>
  <c r="K40" i="9"/>
  <c r="J40" i="9"/>
  <c r="I40" i="9"/>
  <c r="H40" i="9"/>
  <c r="G40" i="9"/>
  <c r="F40" i="9"/>
  <c r="E40" i="9"/>
  <c r="D40" i="9"/>
  <c r="C40" i="9"/>
  <c r="N39" i="9"/>
  <c r="M39" i="9"/>
  <c r="L39" i="9"/>
  <c r="K39" i="9"/>
  <c r="J39" i="9"/>
  <c r="I39" i="9"/>
  <c r="H39" i="9"/>
  <c r="G39" i="9"/>
  <c r="F39" i="9"/>
  <c r="E39" i="9"/>
  <c r="D39" i="9"/>
  <c r="C39" i="9"/>
  <c r="N34" i="9"/>
  <c r="M34" i="9"/>
  <c r="L34" i="9"/>
  <c r="K34" i="9"/>
  <c r="J34" i="9"/>
  <c r="I34" i="9"/>
  <c r="H34" i="9"/>
  <c r="G34" i="9"/>
  <c r="F34" i="9"/>
  <c r="E34" i="9"/>
  <c r="D34" i="9"/>
  <c r="C34" i="9"/>
  <c r="N33" i="9"/>
  <c r="M33" i="9"/>
  <c r="L33" i="9"/>
  <c r="K33" i="9"/>
  <c r="J33" i="9"/>
  <c r="I33" i="9"/>
  <c r="H33" i="9"/>
  <c r="G33" i="9"/>
  <c r="F33" i="9"/>
  <c r="E33" i="9"/>
  <c r="D33" i="9"/>
  <c r="C33" i="9"/>
  <c r="N28" i="9"/>
  <c r="M28" i="9"/>
  <c r="L28" i="9"/>
  <c r="K28" i="9"/>
  <c r="J28" i="9"/>
  <c r="I28" i="9"/>
  <c r="H28" i="9"/>
  <c r="G28" i="9"/>
  <c r="F28" i="9"/>
  <c r="E28" i="9"/>
  <c r="D28" i="9"/>
  <c r="C28" i="9"/>
  <c r="N27" i="9"/>
  <c r="M27" i="9"/>
  <c r="L27" i="9"/>
  <c r="K27" i="9"/>
  <c r="J27" i="9"/>
  <c r="I27" i="9"/>
  <c r="H27" i="9"/>
  <c r="G27" i="9"/>
  <c r="F27" i="9"/>
  <c r="E27" i="9"/>
  <c r="D27" i="9"/>
  <c r="C27" i="9"/>
  <c r="N22" i="9"/>
  <c r="M22" i="9"/>
  <c r="L22" i="9"/>
  <c r="K22" i="9"/>
  <c r="J22" i="9"/>
  <c r="I22" i="9"/>
  <c r="H22" i="9"/>
  <c r="G22" i="9"/>
  <c r="F22" i="9"/>
  <c r="E22" i="9"/>
  <c r="D22" i="9"/>
  <c r="C22" i="9"/>
  <c r="N21" i="9"/>
  <c r="M21" i="9"/>
  <c r="L21" i="9"/>
  <c r="K21" i="9"/>
  <c r="J21" i="9"/>
  <c r="I21" i="9"/>
  <c r="H21" i="9"/>
  <c r="G21" i="9"/>
  <c r="F21" i="9"/>
  <c r="E21" i="9"/>
  <c r="D21" i="9"/>
  <c r="C21" i="9"/>
  <c r="N16" i="9"/>
  <c r="M16" i="9"/>
  <c r="L16" i="9"/>
  <c r="K16" i="9"/>
  <c r="J16" i="9"/>
  <c r="I16" i="9"/>
  <c r="H16" i="9"/>
  <c r="G16" i="9"/>
  <c r="F16" i="9"/>
  <c r="E16" i="9"/>
  <c r="D16" i="9"/>
  <c r="C16" i="9"/>
  <c r="N15" i="9"/>
  <c r="M15" i="9"/>
  <c r="L15" i="9"/>
  <c r="K15" i="9"/>
  <c r="J15" i="9"/>
  <c r="I15" i="9"/>
  <c r="H15" i="9"/>
  <c r="G15" i="9"/>
  <c r="F15" i="9"/>
  <c r="E15" i="9"/>
  <c r="D15" i="9"/>
  <c r="C15" i="9"/>
  <c r="N10" i="9"/>
  <c r="M10" i="9"/>
  <c r="L10" i="9"/>
  <c r="K10" i="9"/>
  <c r="J10" i="9"/>
  <c r="I10" i="9"/>
  <c r="H10" i="9"/>
  <c r="G10" i="9"/>
  <c r="F10" i="9"/>
  <c r="E10" i="9"/>
  <c r="D10" i="9"/>
  <c r="C10" i="9"/>
  <c r="N9" i="9"/>
  <c r="M9" i="9"/>
  <c r="L9" i="9"/>
  <c r="K9" i="9"/>
  <c r="J9" i="9"/>
  <c r="I9" i="9"/>
  <c r="H9" i="9"/>
  <c r="G9" i="9"/>
  <c r="F9" i="9"/>
  <c r="E9" i="9"/>
  <c r="D9" i="9"/>
  <c r="C9" i="9"/>
  <c r="B2" i="9"/>
  <c r="E58" i="8"/>
  <c r="D58" i="8"/>
  <c r="C58" i="8"/>
  <c r="E57" i="8"/>
  <c r="D57" i="8"/>
  <c r="C57" i="8"/>
  <c r="E52" i="8"/>
  <c r="D52" i="8"/>
  <c r="C52" i="8"/>
  <c r="E51" i="8"/>
  <c r="D51" i="8"/>
  <c r="C51" i="8"/>
  <c r="E46" i="8"/>
  <c r="D46" i="8"/>
  <c r="C46" i="8"/>
  <c r="E45" i="8"/>
  <c r="D45" i="8"/>
  <c r="C45" i="8"/>
  <c r="E40" i="8"/>
  <c r="D40" i="8"/>
  <c r="C40" i="8"/>
  <c r="E39" i="8"/>
  <c r="D39" i="8"/>
  <c r="C39" i="8"/>
  <c r="E34" i="8"/>
  <c r="D34" i="8"/>
  <c r="C34" i="8"/>
  <c r="E33" i="8"/>
  <c r="D33" i="8"/>
  <c r="C33" i="8"/>
  <c r="E28" i="8"/>
  <c r="D28" i="8"/>
  <c r="C28" i="8"/>
  <c r="E27" i="8"/>
  <c r="D27" i="8"/>
  <c r="C27" i="8"/>
  <c r="E22" i="8"/>
  <c r="D22" i="8"/>
  <c r="C22" i="8"/>
  <c r="E21" i="8"/>
  <c r="D21" i="8"/>
  <c r="C21" i="8"/>
  <c r="E16" i="8"/>
  <c r="D16" i="8"/>
  <c r="C16" i="8"/>
  <c r="E15" i="8"/>
  <c r="D15" i="8"/>
  <c r="C15" i="8"/>
  <c r="E10" i="8"/>
  <c r="D10" i="8"/>
  <c r="C10" i="8"/>
  <c r="E9" i="8"/>
  <c r="D9" i="8"/>
  <c r="C9" i="8"/>
  <c r="B2" i="8"/>
  <c r="C27" i="7"/>
  <c r="O22" i="7"/>
  <c r="N22" i="7"/>
  <c r="M22" i="7"/>
  <c r="L22" i="7"/>
  <c r="K22" i="7"/>
  <c r="J22" i="7"/>
  <c r="I22" i="7"/>
  <c r="H22" i="7"/>
  <c r="G22" i="7"/>
  <c r="F22" i="7"/>
  <c r="E22" i="7"/>
  <c r="D22" i="7"/>
  <c r="C21" i="7"/>
  <c r="C8" i="7"/>
  <c r="C22" i="7"/>
  <c r="C20" i="7"/>
  <c r="C19" i="7"/>
  <c r="C18" i="7"/>
  <c r="C17" i="7"/>
  <c r="C16" i="7"/>
  <c r="C15" i="7"/>
  <c r="O14" i="7"/>
  <c r="N14" i="7"/>
  <c r="M14" i="7"/>
  <c r="L14" i="7"/>
  <c r="K14" i="7"/>
  <c r="J14" i="7"/>
  <c r="I14" i="7"/>
  <c r="H14" i="7"/>
  <c r="G14" i="7"/>
  <c r="F14" i="7"/>
  <c r="E14" i="7"/>
  <c r="C13" i="7"/>
  <c r="C14" i="7"/>
  <c r="C12" i="7"/>
  <c r="C11" i="7"/>
  <c r="C10" i="7"/>
  <c r="C9" i="7"/>
  <c r="B2" i="7"/>
  <c r="C25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Q13" i="6"/>
  <c r="P13" i="6"/>
  <c r="O13" i="6"/>
  <c r="N13" i="6"/>
  <c r="M13" i="6"/>
  <c r="L13" i="6"/>
  <c r="K13" i="6"/>
  <c r="J13" i="6"/>
  <c r="I13" i="6"/>
  <c r="H13" i="6"/>
  <c r="G13" i="6"/>
  <c r="E13" i="6"/>
  <c r="D13" i="6"/>
  <c r="C13" i="6"/>
  <c r="B2" i="6"/>
  <c r="U14" i="5"/>
  <c r="U16" i="5"/>
  <c r="U18" i="5"/>
  <c r="U20" i="5"/>
  <c r="U21" i="5"/>
  <c r="U22" i="5"/>
  <c r="V14" i="5"/>
  <c r="V16" i="5"/>
  <c r="V18" i="5"/>
  <c r="V20" i="5"/>
  <c r="V21" i="5"/>
  <c r="V22" i="5"/>
  <c r="W14" i="5"/>
  <c r="W16" i="5"/>
  <c r="W18" i="5"/>
  <c r="W20" i="5"/>
  <c r="W21" i="5"/>
  <c r="W22" i="5"/>
  <c r="X14" i="5"/>
  <c r="X16" i="5"/>
  <c r="X18" i="5"/>
  <c r="X20" i="5"/>
  <c r="X21" i="5"/>
  <c r="X22" i="5"/>
  <c r="Y14" i="5"/>
  <c r="Y16" i="5"/>
  <c r="Y18" i="5"/>
  <c r="Y20" i="5"/>
  <c r="Y21" i="5"/>
  <c r="Y22" i="5"/>
  <c r="Z14" i="5"/>
  <c r="Z16" i="5"/>
  <c r="Z18" i="5"/>
  <c r="Z20" i="5"/>
  <c r="Z21" i="5"/>
  <c r="Z22" i="5"/>
  <c r="AA14" i="5"/>
  <c r="AA16" i="5"/>
  <c r="AA18" i="5"/>
  <c r="AA20" i="5"/>
  <c r="AA21" i="5"/>
  <c r="AA22" i="5"/>
  <c r="AB14" i="5"/>
  <c r="AB16" i="5"/>
  <c r="AB18" i="5"/>
  <c r="AB20" i="5"/>
  <c r="AB21" i="5"/>
  <c r="AB22" i="5"/>
  <c r="AC14" i="5"/>
  <c r="AC16" i="5"/>
  <c r="AC18" i="5"/>
  <c r="AC20" i="5"/>
  <c r="AC21" i="5"/>
  <c r="AC22" i="5"/>
  <c r="C28" i="5"/>
  <c r="C27" i="5"/>
  <c r="C26" i="5"/>
  <c r="AF23" i="5"/>
  <c r="AE23" i="5"/>
  <c r="AD23" i="5"/>
  <c r="AC23" i="5"/>
  <c r="AB23" i="5"/>
  <c r="AA23" i="5"/>
  <c r="Z23" i="5"/>
  <c r="Y23" i="5"/>
  <c r="X23" i="5"/>
  <c r="W23" i="5"/>
  <c r="V23" i="5"/>
  <c r="U23" i="5"/>
  <c r="T14" i="5"/>
  <c r="T16" i="5"/>
  <c r="T18" i="5"/>
  <c r="T20" i="5"/>
  <c r="T21" i="5"/>
  <c r="T22" i="5"/>
  <c r="T23" i="5"/>
  <c r="S14" i="5"/>
  <c r="S16" i="5"/>
  <c r="S18" i="5"/>
  <c r="S20" i="5"/>
  <c r="S21" i="5"/>
  <c r="S22" i="5"/>
  <c r="S23" i="5"/>
  <c r="R14" i="5"/>
  <c r="R16" i="5"/>
  <c r="R18" i="5"/>
  <c r="R20" i="5"/>
  <c r="R21" i="5"/>
  <c r="R22" i="5"/>
  <c r="R23" i="5"/>
  <c r="Q14" i="5"/>
  <c r="Q17" i="5"/>
  <c r="Q16" i="5"/>
  <c r="Q18" i="5"/>
  <c r="Q19" i="5"/>
  <c r="Q20" i="5"/>
  <c r="Q21" i="5"/>
  <c r="Q22" i="5"/>
  <c r="Q23" i="5"/>
  <c r="P14" i="5"/>
  <c r="P17" i="5"/>
  <c r="P16" i="5"/>
  <c r="P18" i="5"/>
  <c r="P19" i="5"/>
  <c r="P20" i="5"/>
  <c r="P21" i="5"/>
  <c r="P22" i="5"/>
  <c r="P23" i="5"/>
  <c r="O14" i="5"/>
  <c r="O17" i="5"/>
  <c r="O16" i="5"/>
  <c r="O18" i="5"/>
  <c r="O19" i="5"/>
  <c r="O20" i="5"/>
  <c r="O21" i="5"/>
  <c r="O22" i="5"/>
  <c r="O23" i="5"/>
  <c r="N14" i="5"/>
  <c r="N17" i="5"/>
  <c r="N16" i="5"/>
  <c r="N18" i="5"/>
  <c r="N19" i="5"/>
  <c r="N20" i="5"/>
  <c r="N21" i="5"/>
  <c r="N22" i="5"/>
  <c r="N23" i="5"/>
  <c r="M14" i="5"/>
  <c r="M17" i="5"/>
  <c r="M16" i="5"/>
  <c r="M18" i="5"/>
  <c r="M19" i="5"/>
  <c r="M20" i="5"/>
  <c r="M21" i="5"/>
  <c r="M22" i="5"/>
  <c r="M23" i="5"/>
  <c r="L14" i="5"/>
  <c r="L17" i="5"/>
  <c r="L16" i="5"/>
  <c r="L18" i="5"/>
  <c r="L19" i="5"/>
  <c r="L20" i="5"/>
  <c r="L21" i="5"/>
  <c r="L22" i="5"/>
  <c r="L23" i="5"/>
  <c r="K14" i="5"/>
  <c r="K17" i="5"/>
  <c r="K16" i="5"/>
  <c r="K18" i="5"/>
  <c r="K19" i="5"/>
  <c r="K20" i="5"/>
  <c r="K21" i="5"/>
  <c r="K22" i="5"/>
  <c r="K23" i="5"/>
  <c r="J14" i="5"/>
  <c r="J17" i="5"/>
  <c r="J16" i="5"/>
  <c r="J18" i="5"/>
  <c r="J19" i="5"/>
  <c r="J20" i="5"/>
  <c r="J21" i="5"/>
  <c r="J22" i="5"/>
  <c r="J23" i="5"/>
  <c r="I14" i="5"/>
  <c r="I17" i="5"/>
  <c r="I16" i="5"/>
  <c r="I18" i="5"/>
  <c r="I19" i="5"/>
  <c r="I20" i="5"/>
  <c r="I21" i="5"/>
  <c r="I22" i="5"/>
  <c r="I23" i="5"/>
  <c r="H14" i="5"/>
  <c r="H17" i="5"/>
  <c r="H16" i="5"/>
  <c r="H18" i="5"/>
  <c r="H19" i="5"/>
  <c r="H20" i="5"/>
  <c r="H21" i="5"/>
  <c r="H22" i="5"/>
  <c r="H23" i="5"/>
  <c r="G14" i="5"/>
  <c r="G17" i="5"/>
  <c r="G16" i="5"/>
  <c r="G18" i="5"/>
  <c r="G19" i="5"/>
  <c r="G20" i="5"/>
  <c r="G21" i="5"/>
  <c r="G22" i="5"/>
  <c r="G23" i="5"/>
  <c r="F14" i="5"/>
  <c r="F17" i="5"/>
  <c r="F16" i="5"/>
  <c r="F18" i="5"/>
  <c r="F19" i="5"/>
  <c r="F20" i="5"/>
  <c r="F21" i="5"/>
  <c r="F22" i="5"/>
  <c r="F23" i="5"/>
  <c r="E14" i="5"/>
  <c r="E17" i="5"/>
  <c r="E16" i="5"/>
  <c r="E18" i="5"/>
  <c r="E19" i="5"/>
  <c r="E20" i="5"/>
  <c r="E21" i="5"/>
  <c r="E22" i="5"/>
  <c r="E23" i="5"/>
  <c r="D14" i="5"/>
  <c r="D17" i="5"/>
  <c r="D16" i="5"/>
  <c r="D18" i="5"/>
  <c r="D19" i="5"/>
  <c r="D20" i="5"/>
  <c r="D21" i="5"/>
  <c r="D22" i="5"/>
  <c r="D23" i="5"/>
  <c r="C14" i="5"/>
  <c r="C17" i="5"/>
  <c r="C16" i="5"/>
  <c r="C18" i="5"/>
  <c r="C19" i="5"/>
  <c r="C20" i="5"/>
  <c r="C21" i="5"/>
  <c r="C22" i="5"/>
  <c r="C23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B2" i="5"/>
  <c r="B101" i="3"/>
  <c r="E99" i="3"/>
  <c r="D99" i="3"/>
  <c r="C99" i="3"/>
  <c r="B99" i="3"/>
  <c r="E98" i="3"/>
  <c r="D98" i="3"/>
  <c r="C98" i="3"/>
  <c r="B98" i="3"/>
  <c r="E97" i="3"/>
  <c r="D97" i="3"/>
  <c r="C97" i="3"/>
  <c r="B97" i="3"/>
  <c r="E96" i="3"/>
  <c r="D96" i="3"/>
  <c r="C96" i="3"/>
  <c r="B96" i="3"/>
  <c r="E95" i="3"/>
  <c r="D95" i="3"/>
  <c r="C95" i="3"/>
  <c r="B95" i="3"/>
  <c r="E94" i="3"/>
  <c r="D94" i="3"/>
  <c r="C94" i="3"/>
  <c r="B94" i="3"/>
  <c r="E93" i="3"/>
  <c r="D93" i="3"/>
  <c r="C93" i="3"/>
  <c r="B93" i="3"/>
  <c r="E92" i="3"/>
  <c r="D92" i="3"/>
  <c r="C92" i="3"/>
  <c r="B92" i="3"/>
  <c r="E91" i="3"/>
  <c r="D91" i="3"/>
  <c r="C91" i="3"/>
  <c r="B91" i="3"/>
  <c r="E90" i="3"/>
  <c r="D90" i="3"/>
  <c r="C90" i="3"/>
  <c r="B90" i="3"/>
  <c r="E89" i="3"/>
  <c r="D89" i="3"/>
  <c r="C89" i="3"/>
  <c r="B89" i="3"/>
  <c r="E88" i="3"/>
  <c r="D88" i="3"/>
  <c r="C88" i="3"/>
  <c r="B88" i="3"/>
  <c r="D80" i="3"/>
  <c r="C80" i="3"/>
  <c r="B80" i="3"/>
  <c r="D79" i="3"/>
  <c r="C79" i="3"/>
  <c r="B79" i="3"/>
  <c r="D78" i="3"/>
  <c r="C78" i="3"/>
  <c r="B78" i="3"/>
  <c r="D77" i="3"/>
  <c r="C77" i="3"/>
  <c r="B77" i="3"/>
  <c r="D76" i="3"/>
  <c r="C76" i="3"/>
  <c r="B76" i="3"/>
  <c r="D75" i="3"/>
  <c r="C75" i="3"/>
  <c r="B75" i="3"/>
  <c r="D74" i="3"/>
  <c r="C74" i="3"/>
  <c r="B74" i="3"/>
  <c r="D73" i="3"/>
  <c r="C73" i="3"/>
  <c r="B73" i="3"/>
  <c r="D72" i="3"/>
  <c r="C72" i="3"/>
  <c r="B72" i="3"/>
  <c r="D71" i="3"/>
  <c r="C71" i="3"/>
  <c r="B71" i="3"/>
  <c r="D70" i="3"/>
  <c r="C70" i="3"/>
  <c r="B70" i="3"/>
  <c r="D69" i="3"/>
  <c r="C69" i="3"/>
  <c r="B69" i="3"/>
  <c r="B64" i="3"/>
  <c r="E51" i="3"/>
  <c r="D51" i="3"/>
  <c r="C51" i="3"/>
  <c r="E50" i="3"/>
  <c r="D50" i="3"/>
  <c r="C50" i="3"/>
  <c r="E49" i="3"/>
  <c r="D49" i="3"/>
  <c r="C49" i="3"/>
  <c r="B44" i="3"/>
  <c r="D33" i="3"/>
  <c r="I33" i="3"/>
  <c r="H33" i="3"/>
  <c r="G33" i="3"/>
  <c r="F33" i="3"/>
  <c r="E33" i="3"/>
  <c r="I32" i="3"/>
  <c r="D32" i="3"/>
  <c r="H32" i="3"/>
  <c r="G32" i="3"/>
  <c r="D28" i="3"/>
  <c r="E28" i="3"/>
  <c r="D29" i="3"/>
  <c r="E29" i="3"/>
  <c r="D30" i="3"/>
  <c r="E30" i="3"/>
  <c r="D31" i="3"/>
  <c r="E31" i="3"/>
  <c r="E32" i="3"/>
  <c r="F32" i="3"/>
  <c r="I31" i="3"/>
  <c r="H31" i="3"/>
  <c r="G31" i="3"/>
  <c r="F31" i="3"/>
  <c r="I30" i="3"/>
  <c r="H30" i="3"/>
  <c r="G30" i="3"/>
  <c r="F30" i="3"/>
  <c r="I29" i="3"/>
  <c r="H29" i="3"/>
  <c r="G29" i="3"/>
  <c r="F29" i="3"/>
  <c r="I28" i="3"/>
  <c r="H28" i="3"/>
  <c r="G28" i="3"/>
  <c r="F28" i="3"/>
  <c r="C21" i="3"/>
  <c r="D21" i="3"/>
  <c r="E21" i="3"/>
  <c r="F21" i="3"/>
  <c r="B21" i="3"/>
  <c r="C20" i="3"/>
  <c r="D20" i="3"/>
  <c r="E20" i="3"/>
  <c r="F20" i="3"/>
  <c r="B20" i="3"/>
  <c r="C19" i="3"/>
  <c r="D19" i="3"/>
  <c r="E19" i="3"/>
  <c r="F19" i="3"/>
  <c r="B19" i="3"/>
  <c r="C18" i="3"/>
  <c r="D18" i="3"/>
  <c r="E18" i="3"/>
  <c r="F18" i="3"/>
  <c r="B18" i="3"/>
  <c r="C17" i="3"/>
  <c r="D17" i="3"/>
  <c r="E17" i="3"/>
  <c r="F17" i="3"/>
  <c r="B17" i="3"/>
  <c r="C16" i="3"/>
  <c r="D16" i="3"/>
  <c r="E16" i="3"/>
  <c r="F16" i="3"/>
  <c r="B16" i="3"/>
  <c r="C15" i="3"/>
  <c r="D15" i="3"/>
  <c r="E15" i="3"/>
  <c r="F15" i="3"/>
  <c r="B15" i="3"/>
  <c r="C14" i="3"/>
  <c r="D14" i="3"/>
  <c r="E14" i="3"/>
  <c r="F14" i="3"/>
  <c r="B14" i="3"/>
  <c r="C13" i="3"/>
  <c r="D13" i="3"/>
  <c r="E13" i="3"/>
  <c r="F13" i="3"/>
  <c r="B13" i="3"/>
  <c r="C12" i="3"/>
  <c r="D12" i="3"/>
  <c r="E12" i="3"/>
  <c r="F12" i="3"/>
  <c r="B12" i="3"/>
  <c r="C11" i="3"/>
  <c r="D11" i="3"/>
  <c r="E11" i="3"/>
  <c r="F11" i="3"/>
  <c r="B11" i="3"/>
  <c r="C10" i="3"/>
  <c r="D10" i="3"/>
  <c r="E10" i="3"/>
  <c r="F10" i="3"/>
  <c r="B10" i="3"/>
  <c r="O5" i="3"/>
  <c r="P5" i="3"/>
  <c r="K5" i="3"/>
  <c r="L5" i="3"/>
  <c r="F4" i="3"/>
  <c r="G5" i="3"/>
  <c r="H5" i="3"/>
  <c r="C5" i="3"/>
  <c r="D5" i="3"/>
  <c r="N4" i="3"/>
  <c r="J4" i="3"/>
  <c r="B4" i="3"/>
  <c r="B2" i="3"/>
  <c r="B80" i="2"/>
  <c r="B79" i="2"/>
  <c r="M61" i="2"/>
  <c r="L61" i="2"/>
  <c r="K61" i="2"/>
  <c r="J61" i="2"/>
  <c r="D61" i="2"/>
  <c r="C61" i="2"/>
  <c r="B61" i="2"/>
  <c r="M60" i="2"/>
  <c r="L60" i="2"/>
  <c r="K60" i="2"/>
  <c r="J60" i="2"/>
  <c r="D60" i="2"/>
  <c r="C60" i="2"/>
  <c r="B60" i="2"/>
  <c r="M59" i="2"/>
  <c r="L59" i="2"/>
  <c r="K59" i="2"/>
  <c r="J59" i="2"/>
  <c r="D59" i="2"/>
  <c r="C59" i="2"/>
  <c r="B59" i="2"/>
  <c r="B52" i="2"/>
  <c r="D39" i="2"/>
  <c r="I39" i="2"/>
  <c r="H39" i="2"/>
  <c r="G39" i="2"/>
  <c r="F39" i="2"/>
  <c r="E39" i="2"/>
  <c r="I38" i="2"/>
  <c r="D38" i="2"/>
  <c r="H38" i="2"/>
  <c r="G38" i="2"/>
  <c r="D34" i="2"/>
  <c r="E34" i="2"/>
  <c r="D35" i="2"/>
  <c r="E35" i="2"/>
  <c r="D36" i="2"/>
  <c r="E36" i="2"/>
  <c r="D37" i="2"/>
  <c r="E37" i="2"/>
  <c r="E38" i="2"/>
  <c r="F38" i="2"/>
  <c r="I37" i="2"/>
  <c r="H37" i="2"/>
  <c r="G37" i="2"/>
  <c r="F37" i="2"/>
  <c r="I36" i="2"/>
  <c r="H36" i="2"/>
  <c r="G36" i="2"/>
  <c r="F36" i="2"/>
  <c r="I35" i="2"/>
  <c r="H35" i="2"/>
  <c r="G35" i="2"/>
  <c r="F35" i="2"/>
  <c r="I34" i="2"/>
  <c r="H34" i="2"/>
  <c r="G34" i="2"/>
  <c r="F34" i="2"/>
  <c r="J29" i="2"/>
  <c r="M12" i="2"/>
  <c r="L12" i="2"/>
  <c r="K12" i="2"/>
  <c r="C12" i="2"/>
  <c r="D12" i="2"/>
  <c r="E12" i="2"/>
  <c r="F12" i="2"/>
  <c r="M11" i="2"/>
  <c r="L11" i="2"/>
  <c r="K11" i="2"/>
  <c r="C11" i="2"/>
  <c r="D11" i="2"/>
  <c r="E11" i="2"/>
  <c r="F11" i="2"/>
  <c r="M10" i="2"/>
  <c r="L10" i="2"/>
  <c r="K10" i="2"/>
  <c r="C10" i="2"/>
  <c r="D10" i="2"/>
  <c r="E10" i="2"/>
  <c r="F10" i="2"/>
  <c r="O5" i="2"/>
  <c r="P5" i="2"/>
  <c r="K5" i="2"/>
  <c r="L5" i="2"/>
  <c r="F4" i="2"/>
  <c r="G5" i="2"/>
  <c r="H5" i="2"/>
  <c r="C5" i="2"/>
  <c r="D5" i="2"/>
  <c r="N4" i="2"/>
  <c r="J4" i="2"/>
  <c r="B4" i="2"/>
  <c r="B2" i="2"/>
  <c r="N36" i="1"/>
  <c r="K36" i="1"/>
  <c r="Q36" i="1"/>
  <c r="H36" i="1"/>
  <c r="N35" i="1"/>
  <c r="K35" i="1"/>
  <c r="Q35" i="1"/>
  <c r="H35" i="1"/>
  <c r="N34" i="1"/>
  <c r="K34" i="1"/>
  <c r="Q34" i="1"/>
  <c r="H34" i="1"/>
  <c r="N33" i="1"/>
  <c r="K33" i="1"/>
  <c r="Q33" i="1"/>
  <c r="H33" i="1"/>
  <c r="N32" i="1"/>
  <c r="K32" i="1"/>
  <c r="Q32" i="1"/>
  <c r="H32" i="1"/>
  <c r="N31" i="1"/>
  <c r="K31" i="1"/>
  <c r="Q31" i="1"/>
  <c r="H31" i="1"/>
  <c r="N30" i="1"/>
  <c r="K30" i="1"/>
  <c r="Q30" i="1"/>
  <c r="H30" i="1"/>
  <c r="G26" i="1"/>
  <c r="K25" i="1"/>
  <c r="I25" i="1"/>
  <c r="G25" i="1"/>
  <c r="K24" i="1"/>
  <c r="I24" i="1"/>
  <c r="K23" i="1"/>
  <c r="I23" i="1"/>
  <c r="K22" i="1"/>
  <c r="I22" i="1"/>
  <c r="G22" i="1"/>
  <c r="K21" i="1"/>
  <c r="I21" i="1"/>
  <c r="G21" i="1"/>
  <c r="K20" i="1"/>
  <c r="I20" i="1"/>
  <c r="G20" i="1"/>
  <c r="K19" i="1"/>
  <c r="I19" i="1"/>
  <c r="G19" i="1"/>
  <c r="B2" i="1"/>
</calcChain>
</file>

<file path=xl/sharedStrings.xml><?xml version="1.0" encoding="utf-8"?>
<sst xmlns="http://schemas.openxmlformats.org/spreadsheetml/2006/main" count="808" uniqueCount="423">
  <si>
    <t>A. Company Overview</t>
  </si>
  <si>
    <t>B. Project Objective</t>
  </si>
  <si>
    <t>• Nestlé India Ltd is a subsidiary of Nestlé S.A. (Switzerland), listed on the BSE/NSE.
• Core business: packaged food and beverages (nutrition, confectionery, beverages, dairy).
• Major categories include instant noodles, coffee, milk products, chocolates &amp; confectionery, and infant nutrition.
• Manufactures and distributes across India through multiple factories and a pan-India distribution network.</t>
  </si>
  <si>
    <t>This project demonstrates an end-to-end FP&amp;A workflow:
• Historical financial analysis and ratio trends
• Assumption building (revenue growth, cost ratios, monthly seasonality)
• Derived monthly actuals from quarterly reported data
• Monthly budgeting and a 12-month forward forecast
• Budget vs Actual and Budget vs Forecast variance analysis
• Management dashboards</t>
  </si>
  <si>
    <t>C. Data Used</t>
  </si>
  <si>
    <t>D. Methodology Flow</t>
  </si>
  <si>
    <t>• Historical annual and quarterly financials sourced from Nestlé India's publicly reported financial statements (Data Sheet tab).
• Monthly company-reported P&amp;L data is NOT publicly available.
• Monthly figures are therefore DERIVED from reported quarterly data using an explicit allocation assumption (31% / 33% / 36% of each quarter).
• Derived monthly figures are modelled estimates and are NOT company-reported monthly results.
• FY2023-24 was a 15-month transition year (Nestlé India changed its financial year-end from December to March) and is not directly comparable with normal 12-month years in trend analyses (see Historical FS / Ratio Analysis).</t>
  </si>
  <si>
    <t>Historical Financials → Historical Analysis → Assumptions → Quarterly-to-Monthly Allocation → Derived Monthly Actuals → Monthly Budget → 12-Month Forecast → Budget vs Actual / Budget vs Forecast → Variance Analysis → Management Dashboard</t>
  </si>
  <si>
    <t>E. Key Assumptions</t>
  </si>
  <si>
    <t>Assumption</t>
  </si>
  <si>
    <t>Base / Historical</t>
  </si>
  <si>
    <t>Budget</t>
  </si>
  <si>
    <t>Forecast</t>
  </si>
  <si>
    <t>Unit</t>
  </si>
  <si>
    <t>Type</t>
  </si>
  <si>
    <t>Revenue Growth, YoY</t>
  </si>
  <si>
    <t>% p.a.</t>
  </si>
  <si>
    <t>Historical trend / Analyst assumption</t>
  </si>
  <si>
    <t>COGS / Material Cost % of Revenue</t>
  </si>
  <si>
    <t>% of revenue</t>
  </si>
  <si>
    <t>Historical average / Analyst assumption</t>
  </si>
  <si>
    <t>Employee Cost % of Revenue</t>
  </si>
  <si>
    <t>Other Operating Expenses % of Revenue</t>
  </si>
  <si>
    <t>Depreciation — YoY growth (simplified driver)</t>
  </si>
  <si>
    <t>% YoY</t>
  </si>
  <si>
    <t>Analyst assumption</t>
  </si>
  <si>
    <t>Interest — YoY growth (simplified driver)</t>
  </si>
  <si>
    <t>Effective Tax Rate</t>
  </si>
  <si>
    <t>% of EBT</t>
  </si>
  <si>
    <t>Monthly Allocation (Seasonality)</t>
  </si>
  <si>
    <t>F. Key Financial Analysis (₹ Crore unless %)</t>
  </si>
  <si>
    <t>Metric</t>
  </si>
  <si>
    <t>Historical
(Last 12-mo Actual)</t>
  </si>
  <si>
    <t>Budget
(12-mo)</t>
  </si>
  <si>
    <t>Forecast
(12-mo)</t>
  </si>
  <si>
    <t>Budget vs
Forecast Var %</t>
  </si>
  <si>
    <t>Revenue</t>
  </si>
  <si>
    <t>EBITDA</t>
  </si>
  <si>
    <t>EBITDA Margin %</t>
  </si>
  <si>
    <t>PAT</t>
  </si>
  <si>
    <t>COGS % of Revenue</t>
  </si>
  <si>
    <t>Other Opex % of Revenue</t>
  </si>
  <si>
    <t>Historical = trailing 12-month Derived Monthly Actual (not company-reported monthly data — see Section C and Assumptions notes).</t>
  </si>
  <si>
    <t>G. Key Management Insights</t>
  </si>
  <si>
    <t>H. Limitations</t>
  </si>
  <si>
    <t>• Full-year Budget vs Forecast: Forecast revenue runs above Budget, but Forecast cost ratios (COGS/Employee/Other Opex) are all set slightly higher than Budget's — a modelling choice (Assumptions Forecast column), not a bottom-up cost forecast. See Variance Analysis Part 2.
• EBITDA margin: driven mechanically by the three cost-ratio assumptions in Assumptions Section C; the Budget vs Forecast margin gap reflects those assumption settings, not an operational finding.
• Employee cost represents one of three cost lines split from Total Opex using the Section E cost-mix assumption (~13% of Opex) — an analyst approximation, since the quarterly source does not report this split.
• Depreciation and Interest are modelled on a simplified YoY-growth basis (Assumptions Section D), not a full fixed-asset/debt schedule — see Model Checks limitations.
• The largest Budget vs Forecast variance driver is the compounding effect of the cost-ratio assumptions across 12 months — see Variance Analysis 'Driver / Explanation' column for the full line-by-line breakdown.
• All figures above are model outputs from stated assumptions, not independently verified operational explanations.</t>
  </si>
  <si>
    <t>1. Monthly actuals are DERIVED from quarterly reported data using an allocation assumption — they are not company-reported monthly actuals.
2. The monthly allocation percentages (31/33/36) and the cost-mix split (Section E) are modelled estimates, not reported splits.
3. Budget and Forecast results depend entirely on analyst assumptions (Assumptions sheet, Budget/Forecast columns) — they are not company guidance.
4. Depreciation/Interest use a simplified YoY-growth methodology; no monthly/quarterly PP&amp;E or debt schedule is available.
5. This model is intended for portfolio / analytical demonstration only, and is NOT Nestlé India's internal planning model.
6. FY2023-24 was a 15-month transition year (calendar-year to April–March fiscal-year change) and is not directly comparable with normal 12-month periods for growth/trend metrics.</t>
  </si>
  <si>
    <t>Derived monthly figures are modelled estimates and are not company-reported monthly results. See Assumptions sheet and Model Checks sheet for full methodology, source labelling and integrity checks.</t>
  </si>
  <si>
    <t>EBITDA Margin</t>
  </si>
  <si>
    <t>Opex</t>
  </si>
  <si>
    <t xml:space="preserve">vs Budget </t>
  </si>
  <si>
    <t>Note: 'Actual' figures are Derived Monthly Actuals - not company-reported - allocated from Nestle India's reported quarterly results using the seasonality assumption on the Assumptions sheet (see Assumptions!B34:B38).</t>
  </si>
  <si>
    <t>Revenue &amp; Cost structure - Q1 FY26-27 Budget to Actual (Rs Crore)</t>
  </si>
  <si>
    <t>Month</t>
  </si>
  <si>
    <t>Actual (Derived)</t>
  </si>
  <si>
    <t>Variance</t>
  </si>
  <si>
    <t>Variance %</t>
  </si>
  <si>
    <t>Cost Line</t>
  </si>
  <si>
    <t>COGS</t>
  </si>
  <si>
    <t>Employee Cost</t>
  </si>
  <si>
    <t>Other Operating Expenses</t>
  </si>
  <si>
    <t>EBITDA Bridge - Q1 FY26-27 Budget to Actual (Rs Crore)</t>
  </si>
  <si>
    <t>Category</t>
  </si>
  <si>
    <t>Net Impact (Rs Cr)</t>
  </si>
  <si>
    <t>Running Total</t>
  </si>
  <si>
    <t>Base</t>
  </si>
  <si>
    <t>Increase</t>
  </si>
  <si>
    <t>Decrease</t>
  </si>
  <si>
    <t>Total</t>
  </si>
  <si>
    <t>Q1 Budget EBITDA</t>
  </si>
  <si>
    <t>Revenue Variance</t>
  </si>
  <si>
    <t>COGS Impact</t>
  </si>
  <si>
    <t>Employee Cost Impact</t>
  </si>
  <si>
    <t>Other Opex Impact</t>
  </si>
  <si>
    <t>Q1 Actual EBITDA</t>
  </si>
  <si>
    <t>EBITDA Margin Trend &amp; PAT - Actual vs Budget (Q1 FY26-27)</t>
  </si>
  <si>
    <t>Budget Margin %</t>
  </si>
  <si>
    <t>Actual Margin %</t>
  </si>
  <si>
    <t>Note: 'Forecast' is a model-generated projection built on its own growth/cost assumptions (Assumptions!E11, E15:E17) - a separate scenario from Budget, not a company estimate or guidance (see Assumptions!B36:B37).</t>
  </si>
  <si>
    <t>Revenue - FY Jul26-Jun27 Budget to Forecast (Rs Crore)</t>
  </si>
  <si>
    <t>Revenue exceeded budget — driven by the higher revenue growth assumption used in the Forecast (12% p.a.) versus the Budget (10% p.a.), a modelling choice on the Assumptions sheet rather than a confirmed operational trend. Variance between the Budget and the Forecast is approximately +1.82%.</t>
  </si>
  <si>
    <t>EBITDA Bridge - FY Jul26-Jun27 Budget to Forecast (Rs Crore)</t>
  </si>
  <si>
    <t>FY Budget EBITDA</t>
  </si>
  <si>
    <t>FY Forecast EBITDA</t>
  </si>
  <si>
    <t>Cost Structure - FY Budget vs Forecast (Rs Crore)</t>
  </si>
  <si>
    <t>EBITDA Margin Trend - Budget vs Forecast (FY Jul26-Jun27)</t>
  </si>
  <si>
    <t>Forecast Margin %</t>
  </si>
  <si>
    <t>What this shows: forecast margin sits below the flat 22.9% budget line in every single month, since the forecast cost-ratio assumptions are uniformly higher than budget's - confirm this margin gap is an intentional, conservative scenario before sharing it as 'the forecast.'</t>
  </si>
  <si>
    <t>PAT - Budget vs Forecast (FY Jul26-Jun27, Rs Crore)</t>
  </si>
  <si>
    <t xml:space="preserve">Derived Monthly Actual - NOT company-reported. Allocated from Nestlé India's reported quarterly results (Data Sheet) using the monthly seasonality assumption on the  Assumptions sheet. </t>
  </si>
  <si>
    <t>Reported Quarter (source)</t>
  </si>
  <si>
    <t>Q4 FY23-24</t>
  </si>
  <si>
    <t>Q1 FY24-25</t>
  </si>
  <si>
    <t>Q2 FY24-25</t>
  </si>
  <si>
    <t>Q3 FY24-25</t>
  </si>
  <si>
    <t>Q4 FY24-25</t>
  </si>
  <si>
    <t>Q1 FY25-26</t>
  </si>
  <si>
    <t>Q2 FY25-26</t>
  </si>
  <si>
    <t>Q3 FY25-26</t>
  </si>
  <si>
    <t>Q4 FY25-26</t>
  </si>
  <si>
    <t>Q1 FY26-27</t>
  </si>
  <si>
    <t>Income Statement (Derived Monthly Actual )</t>
  </si>
  <si>
    <t>Total Operating Expenses</t>
  </si>
  <si>
    <t xml:space="preserve">   COGS / Material Cost</t>
  </si>
  <si>
    <t xml:space="preserve">   Employee Cost</t>
  </si>
  <si>
    <t xml:space="preserve">   Other Operating Expenses</t>
  </si>
  <si>
    <t xml:space="preserve">   EBITDA Margin %</t>
  </si>
  <si>
    <t>Other Income</t>
  </si>
  <si>
    <t>Depreciation</t>
  </si>
  <si>
    <t>EBIT</t>
  </si>
  <si>
    <t>Interest</t>
  </si>
  <si>
    <t>EBT</t>
  </si>
  <si>
    <t>Tax</t>
  </si>
  <si>
    <t xml:space="preserve">   PAT Margin %</t>
  </si>
  <si>
    <t>Last 12-Month Actuals</t>
  </si>
  <si>
    <t xml:space="preserve">   Revenue (12-mo sum)</t>
  </si>
  <si>
    <t xml:space="preserve">   EBITDA (12-mo sum)</t>
  </si>
  <si>
    <t xml:space="preserve">   PAT (12-mo sum)</t>
  </si>
  <si>
    <t>Model Checks — Quarterly Reconciliation (Derived Monthly Actuals must sum exactly to reported quarterly figures)</t>
  </si>
  <si>
    <t>Confirms SUM(Month 1 + Month 2 + Month 3) = Reported Quarter, for both Revenue and Total Operating Expenses. Any non-zero difference is flagged.</t>
  </si>
  <si>
    <t>Quarter</t>
  </si>
  <si>
    <t>Reported Revenue
(Data Sheet)</t>
  </si>
  <si>
    <t>Sum of 3 Derived
Months (Revenue)</t>
  </si>
  <si>
    <t>Difference</t>
  </si>
  <si>
    <t>Reported Total Opex
(Data Sheet)</t>
  </si>
  <si>
    <t>Sum of 3 Derived
Months (Opex)</t>
  </si>
  <si>
    <t>Status</t>
  </si>
  <si>
    <t>Overall Reconciliation Status</t>
  </si>
  <si>
    <t>Monthly Budget (₹ Crore)</t>
  </si>
  <si>
    <t>Revenue Budget</t>
  </si>
  <si>
    <t>Total Operating Expenses Budget</t>
  </si>
  <si>
    <t xml:space="preserve">   COGS Budget</t>
  </si>
  <si>
    <t xml:space="preserve">   Employee Cost Budget</t>
  </si>
  <si>
    <t xml:space="preserve">   Other Opex Budget</t>
  </si>
  <si>
    <t>EBITDA Budget</t>
  </si>
  <si>
    <t>Other Income Budget</t>
  </si>
  <si>
    <t>Depreciation Budget</t>
  </si>
  <si>
    <t>EBIT Budget</t>
  </si>
  <si>
    <t>Interest Budget</t>
  </si>
  <si>
    <t>PBT Budget</t>
  </si>
  <si>
    <t>Tax Budget</t>
  </si>
  <si>
    <t>PAT Budget</t>
  </si>
  <si>
    <t>PAT Margin %</t>
  </si>
  <si>
    <t xml:space="preserve">12-Month Budget  (Jul-26 to Jun-27) </t>
  </si>
  <si>
    <t>Framework: 12-Month Forward Forecast (rolls forward from the latest Derived Monthly Actual using the Forecast growth/cost assumptions on the Assumptions sheet, Section B-D, Forecast column). This is a single forward-projection window refreshed by advancing the base month — not a fully automated, continuously-rolling multi-scenario engine.</t>
  </si>
  <si>
    <t>12-Month Rolling Forecast (₹ Crore)</t>
  </si>
  <si>
    <t xml:space="preserve">   COGS</t>
  </si>
  <si>
    <t xml:space="preserve">   Other Opex</t>
  </si>
  <si>
    <t>12-Month Rolling Forecast Total</t>
  </si>
  <si>
    <t xml:space="preserve">   Budget</t>
  </si>
  <si>
    <t xml:space="preserve">   Actual (Derived)</t>
  </si>
  <si>
    <t xml:space="preserve">   Variance</t>
  </si>
  <si>
    <t xml:space="preserve">   Variance %</t>
  </si>
  <si>
    <t xml:space="preserve">   Forecast</t>
  </si>
  <si>
    <t>Part 1 — Budget vs Actual (Q1 FY26-27: Apr-Jun 2026, YTD)</t>
  </si>
  <si>
    <t>Line Item</t>
  </si>
  <si>
    <t>Budget (YTD)</t>
  </si>
  <si>
    <t>Actual (YTD)</t>
  </si>
  <si>
    <t>Driver / Explanation</t>
  </si>
  <si>
    <t>Part 2 — Budget vs Forecast (12-Month: Jul-2026 to Jun-2027)</t>
  </si>
  <si>
    <t>Budget (12-mo)</t>
  </si>
  <si>
    <t>Forecast (12-mo)</t>
  </si>
  <si>
    <t>Consolidated integrity checks for this FP&amp;A model. All values are formula-linked to the underlying sheets — nothing below is a hardcoded pass/fail.</t>
  </si>
  <si>
    <t>Check</t>
  </si>
  <si>
    <t>Result</t>
  </si>
  <si>
    <t>Detail / Basis</t>
  </si>
  <si>
    <t>Monthly seasonality allocation = 100%</t>
  </si>
  <si>
    <t>Assumptions!E7 (Month1 % + Month2 % + Month3 %)</t>
  </si>
  <si>
    <t>Cost-mix split (COGS/Employee/Other) = 100%</t>
  </si>
  <si>
    <t>Assumptions!E32 (COGS share + Employee share + Other share)</t>
  </si>
  <si>
    <t>Quarterly reconciliation (Derived Monthly Actuals = Reported Quarter)</t>
  </si>
  <si>
    <t>'Monthly Actuals'!B33:I43 — 10 quarters checked (Revenue &amp; Total Opex)</t>
  </si>
  <si>
    <t>Monthly Budget 12-month Revenue &gt; 0</t>
  </si>
  <si>
    <t>'Monthly Budget'!C23 (12-mo sum, Jul-26 to Jun-27)</t>
  </si>
  <si>
    <t>Monthly Budget 12-month EBITDA Margin in plausible range (0-100%)</t>
  </si>
  <si>
    <t>EBITDA (12-mo) ÷ Revenue (12-mo)</t>
  </si>
  <si>
    <t>Rolling Forecast 12-month Revenue &gt; 0</t>
  </si>
  <si>
    <t>'Rolling Forecast'!C25 (12-mo sum)</t>
  </si>
  <si>
    <t>Rolling Forecast 12-month EBITDA Margin in plausible range (0-100%)</t>
  </si>
  <si>
    <t>Budget vs Actual variance formula consistency (Revenue, Q1 FY26-27)</t>
  </si>
  <si>
    <t>'Variance Analysis'!D6−C6 cross-checked against 'Budget VS Actuals' detail</t>
  </si>
  <si>
    <t>Budget vs Forecast sheet is linked to Rolling Forecast (not manually duplicated)</t>
  </si>
  <si>
    <t>'Budget VS Forecast'!C8 formula references 'Rolling Forecast'!D8 directly (verified by formula inspection).</t>
  </si>
  <si>
    <t>Workbook-wide formula error check (broken references, div-by-zero, type errors, unknown names)</t>
  </si>
  <si>
    <t>Verified</t>
  </si>
  <si>
    <t>Verified via LibreOffice recalculation (recalc.py) at last save — 0 errors across 3,182 formulas.</t>
  </si>
  <si>
    <t>Budget Checks (Monthly Budget, representative month: Jul-2026)</t>
  </si>
  <si>
    <t>Budget COGS / Budget Revenue = Budget COGS assumption</t>
  </si>
  <si>
    <t>'Monthly Budget'!F9 ÷ F7 vs Assumptions!D15</t>
  </si>
  <si>
    <t>Budget Employee Cost / Budget Revenue = Budget Employee assumption</t>
  </si>
  <si>
    <t>'Monthly Budget'!F10 ÷ F7 vs Assumptions!D16</t>
  </si>
  <si>
    <t>Budget Other Opex / Budget Revenue = Budget Other Opex assumption</t>
  </si>
  <si>
    <t>'Monthly Budget'!F11 ÷ F7 vs Assumptions!D17</t>
  </si>
  <si>
    <t>Budget Total Opex = COGS + Employee Cost + Other Opex</t>
  </si>
  <si>
    <t>'Monthly Budget'!F8 vs F9+F10+F11</t>
  </si>
  <si>
    <t>Budget EBITDA = Revenue − Total Opex</t>
  </si>
  <si>
    <t>'Monthly Budget'!F12 vs F7-F8</t>
  </si>
  <si>
    <t>Budget EBITDA Margin = EBITDA / Revenue</t>
  </si>
  <si>
    <t>'Monthly Budget'!F13 vs F12/F7</t>
  </si>
  <si>
    <t>Forecast Checks (Rolling Forecast, representative month: Jul-2026)</t>
  </si>
  <si>
    <t>Forecast COGS / Forecast Revenue = Forecast COGS assumption</t>
  </si>
  <si>
    <t>'Rolling Forecast'!D10 ÷ D8 vs Assumptions!E15</t>
  </si>
  <si>
    <t>Forecast Employee Cost / Forecast Revenue = Forecast Employee assumption</t>
  </si>
  <si>
    <t>'Rolling Forecast'!D11 ÷ D8 vs Assumptions!E16</t>
  </si>
  <si>
    <t>Forecast Other Opex / Forecast Revenue = Forecast Other Opex assumption</t>
  </si>
  <si>
    <t>'Rolling Forecast'!D12 ÷ D8 vs Assumptions!E17</t>
  </si>
  <si>
    <t>Forecast Total Opex = sum of cost lines</t>
  </si>
  <si>
    <t>'Rolling Forecast'!D9 vs D10+D11+D12</t>
  </si>
  <si>
    <t>Forecast EBITDA = Revenue − Total Opex</t>
  </si>
  <si>
    <t>'Rolling Forecast'!D13 vs D8−D9</t>
  </si>
  <si>
    <t>Forecast EBITDA Margin = EBITDA / Revenue</t>
  </si>
  <si>
    <t>'Rolling Forecast'!D14 vs D13/D8</t>
  </si>
  <si>
    <t>Profitability Checks (Budget &amp; Forecast, representative month)</t>
  </si>
  <si>
    <t>Budget EBIT = EBITDA − Depreciation + Other Income</t>
  </si>
  <si>
    <t>'Monthly Budget'!F16 vs F12−F15+F14</t>
  </si>
  <si>
    <t>Budget PBT = EBIT − Interest</t>
  </si>
  <si>
    <t>'Monthly Budget'!F18 vs F16−F17</t>
  </si>
  <si>
    <t>Budget PAT = PBT − Tax</t>
  </si>
  <si>
    <t>'Monthly Budget'!F20 vs F18−F19</t>
  </si>
  <si>
    <t>Forecast EBIT = EBITDA − Depreciation + Other Income</t>
  </si>
  <si>
    <t>'Rolling Forecast'!D17 vs D13−D16+D15</t>
  </si>
  <si>
    <t>Forecast PBT = EBIT − Interest</t>
  </si>
  <si>
    <t>'Rolling Forecast'!D19 vs D17−D18</t>
  </si>
  <si>
    <t>Forecast PAT = PBT − Tax</t>
  </si>
  <si>
    <t>'Rolling Forecast'!D21 vs D19−D20</t>
  </si>
  <si>
    <t>Known limitations (not checks, but disclosed for transparency)</t>
  </si>
  <si>
    <t>• Depreciation and Interest Budget/Forecast use a simplified YoY-growth methodology, not a full PP&amp;E/debt driver schedule (no monthly/quarterly balance sheet data available). See Assumptions notes 6 and Section D.</t>
  </si>
  <si>
    <t>• "COGS" is defined narrowly (Material Cost only) on Assumptions/Monthly Actuals/Budget/Forecast, but broadly (incl. Employee Cost &amp; Mfg. Overheads) on Historical FS. See Assumptions note 7.</t>
  </si>
  <si>
    <t>• The COGS / Employee / Other Opex split within Derived Monthly Actuals uses an analyst-assumed cost-mix ratio (Assumptions Section E), since the reported quarterly source does not report this split.</t>
  </si>
  <si>
    <t>• Rolling Forecast is a single 12-month forward-projection window, refreshed by manually advancing the base month — not a fully automated multi-period rolling engine.</t>
  </si>
  <si>
    <t>A. Monthly Seasonality (allocation of a reported quarter into its 3 calendar months)</t>
  </si>
  <si>
    <t>Value</t>
  </si>
  <si>
    <t>Purpose / Methodology</t>
  </si>
  <si>
    <t>Source / Basis</t>
  </si>
  <si>
    <t>Model Impact (where it is used)</t>
  </si>
  <si>
    <t>Month 1 of quarter (%)</t>
  </si>
  <si>
    <t>% of quarter</t>
  </si>
  <si>
    <t>Allocates the reported quarter into Month 1.</t>
  </si>
  <si>
    <t>Analyst assumption — modelled intra-quarter skew (not company data).</t>
  </si>
  <si>
    <t>Drives every Derived Monthly Actual, Month 1 of each quarter (Monthly Actuals!row 9+).</t>
  </si>
  <si>
    <t>Month 2 of quarter (%)</t>
  </si>
  <si>
    <t>Allocates the reported quarter into Month 2.</t>
  </si>
  <si>
    <t>Drives every Derived Monthly Actual, Month 2 of each quarter.</t>
  </si>
  <si>
    <t>Month 3 of quarter (%)</t>
  </si>
  <si>
    <t>Allocates the reported quarter into Month 3.</t>
  </si>
  <si>
    <t>Drives every Derived Monthly Actual, Month 3 of each quarter.</t>
  </si>
  <si>
    <t>Check: sum of 3 months</t>
  </si>
  <si>
    <t>Validates the 3 allocation % sum to 100%.</t>
  </si>
  <si>
    <t>Formula check (E4+E5+E6).</t>
  </si>
  <si>
    <t>If not 100%, Monthly Actuals will not reconcile — see Model Checks sheet.</t>
  </si>
  <si>
    <t>B. Revenue Assumptions</t>
  </si>
  <si>
    <t>Base (FY25-26)</t>
  </si>
  <si>
    <t>YoY growth applied to prior-year month to build Budget/Forecast revenue.</t>
  </si>
  <si>
    <t>Base = Historical trend (FY25-26 vs FY24-25 Sales, Data Sheet). Budget/Forecast = Analyst assumption.</t>
  </si>
  <si>
    <t>Monthly Budget!row 7; Rolling Forecast!row 8.</t>
  </si>
  <si>
    <t>C. Cost Assumptions (% of Revenue)</t>
  </si>
  <si>
    <t>Forecast Value</t>
  </si>
  <si>
    <t>% of revenue → COGS / Material Cost line.</t>
  </si>
  <si>
    <t>Base = Historical average (Raw Material ÷ Sales). Budget/Forecast = Analyst assumption.</t>
  </si>
  <si>
    <t>Monthly Budget / Rolling Forecast Total Opex (row 8/9), split via Section E.</t>
  </si>
  <si>
    <t>% of revenue → Employee Cost line.</t>
  </si>
  <si>
    <t>Base = Historical average (Employee Cost ÷ Sales). Budget/Forecast = Analyst assumption.</t>
  </si>
  <si>
    <t>% of revenue → Other Operating Expenses line.</t>
  </si>
  <si>
    <t>Base = Historical average (computed from Data Sheet). Budget/Forecast = Analyst assumption.</t>
  </si>
  <si>
    <t>Implied EBITDA Margin</t>
  </si>
  <si>
    <t>Check: 100% minus the 3 cost ratios (sense-check only).</t>
  </si>
  <si>
    <t>Formula check — not an independent assumption.</t>
  </si>
  <si>
    <t>Informational only — not referenced elsewhere.</t>
  </si>
  <si>
    <t>D. Profit, Tax and Other Income Assumptions</t>
  </si>
  <si>
    <t>Depreciation — YoY Growth Assumption (Budget/Forecast driver; Base column = historical ratio, memo only)</t>
  </si>
  <si>
    <t>% YoY growth (Budget/Forecast); Base col = % of fixed assets (memo)</t>
  </si>
  <si>
    <t>SIMPLIFIED DRIVER: prior-year same-month Depreciation × (1+rate) — not a %-of-PP&amp;E calc.</t>
  </si>
  <si>
    <t>Base (memo) = Historical ratio (Deprec.÷Fixed Assets). Budget/Forecast = Analyst YoY growth assumption.</t>
  </si>
  <si>
    <t>Monthly Budget!row 15; Rolling Forecast!row 16.</t>
  </si>
  <si>
    <t>Interest — YoY Growth Assumption (Budget/Forecast driver; Base column = historical ratio, memo only)</t>
  </si>
  <si>
    <t>% YoY growth (Budget/Forecast); Base col = % of debt (memo)</t>
  </si>
  <si>
    <t>SIMPLIFIED DRIVER: prior-year same-month Interest × (1+rate) — not a %-of-debt calc.</t>
  </si>
  <si>
    <t>Base (memo) = Historical ratio (Interest÷Borrowings). Budget/Forecast = Analyst YoY growth assumption.</t>
  </si>
  <si>
    <t>Monthly Budget!row 17; Rolling Forecast!row 18.</t>
  </si>
  <si>
    <t>Other Income % of Revenue</t>
  </si>
  <si>
    <t>% of revenue → Other Income line.</t>
  </si>
  <si>
    <t>Base = Historical average. Budget/Forecast = Analyst assumption.</t>
  </si>
  <si>
    <t>Monthly Budget!row 14; Rolling Forecast!row 15.</t>
  </si>
  <si>
    <t>Effective tax rate applied to Budget/Forecast PBT.</t>
  </si>
  <si>
    <t>Base = Historical average (Tax ÷ PBT). Budget/Forecast = Analyst assumption.</t>
  </si>
  <si>
    <t>Monthly Budget!row 19; Rolling Forecast!row 20.</t>
  </si>
  <si>
    <t>E. Cost-Mix Split (used to break Monthly Actuals Total Opex into COGS / Employee / Other)</t>
  </si>
  <si>
    <t>COGS share of Total Opex</t>
  </si>
  <si>
    <t>% of opex</t>
  </si>
  <si>
    <t>Splits Total Opex into the COGS component (source doesn't report this split).</t>
  </si>
  <si>
    <t>Analyst assumption — based on FY25-26 historical cost mix.</t>
  </si>
  <si>
    <t>Monthly Actuals!row 11; Monthly Budget!row 9; Rolling Forecast!row 10.</t>
  </si>
  <si>
    <t>Employee share of Total Opex</t>
  </si>
  <si>
    <t>Splits Total Opex into the Employee Cost component.</t>
  </si>
  <si>
    <t>Monthly Actuals!row 12; Monthly Budget!row 10; Rolling Forecast!row 11.</t>
  </si>
  <si>
    <t>Other Opex share of Total Opex</t>
  </si>
  <si>
    <t>Splits Total Opex into the Other Opex component.</t>
  </si>
  <si>
    <t>Monthly Actuals!row 13; Monthly Budget!row 11; Rolling Forecast!row 12.</t>
  </si>
  <si>
    <t>Note.</t>
  </si>
  <si>
    <t>1. Annual and quarterly figures in the Data Sheet are as reported in Nestlé India's standalone financial statements and are in ₹ Crore ..</t>
  </si>
  <si>
    <t>2. Monthly figures shown on the Monthly Actuals sheet are NOT company-reported , they are Derived Monthly Actuals, allocated from reported quarterly totals using the seasonality % in Section A. They reconcile exactly to the reported quarterly figures (see Checks section on Monthly Actuals and Variance Analysis sheets).</t>
  </si>
  <si>
    <t>3. Budget values represent an internally modelled (assumed), not company guidance.</t>
  </si>
  <si>
    <t>4. Forecast values are model-generated estimates using a separate (editable) growth assumption from Budget, so that Budget vs Forecast variance is meaningful.</t>
  </si>
  <si>
    <t>5. COGS / Employee / Other Opex are not split in the quarterly source, the split assumption in Section E should be treated as an approximation, not a reported figure.</t>
  </si>
  <si>
    <t>6. Depreciation and Interest Budget/Forecast values are a simplified YoY-growth methodology (Section D, rows 22-23), not a driver-based % of a fixed-asset or debt balance — no quarterly/monthly PP&amp;E or debt schedule is available. The historical ratios shown in the Base column of rows 22-23 are informational only.</t>
  </si>
  <si>
    <t>7. "COGS" is defined differently across sheets: Monthly Actuals/Budget/Forecast/Assumptions define COGS as Raw Material Cost only (% of revenue, Section C). Historical FS defines its "COGS" line more broadly (Raw Material + Power &amp; Fuel + Other Mfr. Exp + Employee Cost − Change in Inventory) — see note on Historical FS. Both are internally consistent within their own sheet; they are not directly comparable line-for-line.</t>
  </si>
  <si>
    <t>8. Quarterly reconciliation of Derived Monthly Actuals to reported quarterly figures, and other model integrity checks, are consolidated on the Model Checks sheet.</t>
  </si>
  <si>
    <t>Particulars</t>
  </si>
  <si>
    <t>Note: FY2023-24 represents a 15-month transition period (change from Jan–Dec to Apr–Mar year-end) and should not be directly compared with normal 12-month years.</t>
  </si>
  <si>
    <t>Sales</t>
  </si>
  <si>
    <t>Raw Material Cost</t>
  </si>
  <si>
    <t>Change in Inventory</t>
  </si>
  <si>
    <t>Power and Fuel</t>
  </si>
  <si>
    <t>Other Mfr. Exp</t>
  </si>
  <si>
    <t>Selling and admin</t>
  </si>
  <si>
    <t>Other Expenses</t>
  </si>
  <si>
    <t>Profit before tax</t>
  </si>
  <si>
    <t>Net profit</t>
  </si>
  <si>
    <t>Dividend Amount</t>
  </si>
  <si>
    <t>Equity Share Capital</t>
  </si>
  <si>
    <t>Reserves</t>
  </si>
  <si>
    <t>Borrowings</t>
  </si>
  <si>
    <t>Other Liabilities</t>
  </si>
  <si>
    <t>Total liablities</t>
  </si>
  <si>
    <t>Fixed Assests Net Block</t>
  </si>
  <si>
    <t>Capital Work in Progress</t>
  </si>
  <si>
    <t>Investments</t>
  </si>
  <si>
    <t>Other Assets</t>
  </si>
  <si>
    <t>Total Non Current Assets</t>
  </si>
  <si>
    <t>Receivables</t>
  </si>
  <si>
    <t>Inventory</t>
  </si>
  <si>
    <t>Cash &amp; Bank</t>
  </si>
  <si>
    <t>Total Current Assets</t>
  </si>
  <si>
    <t>Total Assets</t>
  </si>
  <si>
    <t>Years</t>
  </si>
  <si>
    <t>Trendlines</t>
  </si>
  <si>
    <t>Mean</t>
  </si>
  <si>
    <t>Median</t>
  </si>
  <si>
    <t>Note: FY2023-24 (period ended Mar-2024, shown above) was a 15-month transition year following Nestlé India's change from a January–December financial year to an April–March financial year. It is therefore not directly comparable with the normal 12-month years shown alongside it for growth and trend analysis.</t>
  </si>
  <si>
    <t xml:space="preserve">Sales growth </t>
  </si>
  <si>
    <t>EBITDA growth</t>
  </si>
  <si>
    <t>EBT growth</t>
  </si>
  <si>
    <t>Net profit growth</t>
  </si>
  <si>
    <t>Dividend growth</t>
  </si>
  <si>
    <t>Gross margin</t>
  </si>
  <si>
    <t>EBITDA margin</t>
  </si>
  <si>
    <t>EBIT margin</t>
  </si>
  <si>
    <t>EBT margin</t>
  </si>
  <si>
    <t>Net profit margin</t>
  </si>
  <si>
    <t>Sales expense% sales</t>
  </si>
  <si>
    <t>Depreciation% sales</t>
  </si>
  <si>
    <t>Operating income% sales</t>
  </si>
  <si>
    <t>Return on capital employed</t>
  </si>
  <si>
    <t>Retained earning</t>
  </si>
  <si>
    <t>Return on  equity%</t>
  </si>
  <si>
    <t xml:space="preserve">Self sustained growth rate </t>
  </si>
  <si>
    <t>Interest coverage ratio</t>
  </si>
  <si>
    <t>Debtor turnover ratio</t>
  </si>
  <si>
    <t>Creditor turnover ratio</t>
  </si>
  <si>
    <t>Inventory turnover ratio</t>
  </si>
  <si>
    <t>Fixed asset turnover ratio</t>
  </si>
  <si>
    <t>Capital turnover ratio</t>
  </si>
  <si>
    <t>Debtor days</t>
  </si>
  <si>
    <t>Payable days</t>
  </si>
  <si>
    <t>Inventory days</t>
  </si>
  <si>
    <t>Cash conversion</t>
  </si>
  <si>
    <t>CFO/sales</t>
  </si>
  <si>
    <t>CFO/total assets</t>
  </si>
  <si>
    <t>CFO/total debt</t>
  </si>
  <si>
    <t>#</t>
  </si>
  <si>
    <t>Income Statement</t>
  </si>
  <si>
    <t xml:space="preserve">Sales </t>
  </si>
  <si>
    <t>Sales Growth Rate</t>
  </si>
  <si>
    <t>COGS (broad: Raw Material + Power &amp; Fuel + Other Mfr. Exp + Employee Cost − Δ Inventory)</t>
  </si>
  <si>
    <t>COGS % of Sales (broad definition — see note below)</t>
  </si>
  <si>
    <t>Gross Profits</t>
  </si>
  <si>
    <t>Gross Profits% of Sales</t>
  </si>
  <si>
    <t>Selling &amp; Adm Expense</t>
  </si>
  <si>
    <t>S&amp;A Exp % of sales</t>
  </si>
  <si>
    <t>EBITDA% of Sales</t>
  </si>
  <si>
    <t>% of Sales</t>
  </si>
  <si>
    <t>Depreciation% of Sales</t>
  </si>
  <si>
    <t>Interest% of Sales</t>
  </si>
  <si>
    <t>EBT% of Sales</t>
  </si>
  <si>
    <t>Net Profits</t>
  </si>
  <si>
    <t>Net Margins</t>
  </si>
  <si>
    <t>No. of Equity Shares</t>
  </si>
  <si>
    <t>Earning Per Share</t>
  </si>
  <si>
    <t>EPS Growth rate</t>
  </si>
  <si>
    <t>Dividend Per Share</t>
  </si>
  <si>
    <t>Dividend Payout Ratio</t>
  </si>
  <si>
    <t>Retained Earning</t>
  </si>
  <si>
    <t>Balance Sheet</t>
  </si>
  <si>
    <t>Cash Flow Statement</t>
  </si>
  <si>
    <t>Cash from Operating Activity</t>
  </si>
  <si>
    <t>Cash from Investing Activity</t>
  </si>
  <si>
    <t>Cash from Financing Activity</t>
  </si>
  <si>
    <t>Net Cash Flow</t>
  </si>
  <si>
    <t>Note/ Key Assumptions</t>
  </si>
  <si>
    <t>Note: The "COGS" line above uses a BROAD definition (includes Power &amp; Fuel, Other Mfr. Exp and Employee Cost) because the annual P&amp;L source does not separately break out a narrow material-only COGS line. This differs from the "COGS / Material Cost" definition used on the Assumptions / Monthly Actuals / Monthly Budget / Rolling Forecast sheets, which is Raw Material Cost only (% of revenue). EBITDA and margin figures on this sheet are unaffected — only the COGS/Gross Profit split line differs. See Assumptions note 7.</t>
  </si>
  <si>
    <t>COMPANY NAME</t>
  </si>
  <si>
    <t>NESTLE INDIA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</si>
  <si>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</si>
  <si>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</si>
  <si>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</si>
  <si>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</si>
  <si>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</si>
  <si>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</si>
  <si>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</si>
  <si>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</si>
  <si>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</si>
  <si>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</si>
  <si>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Quarters</t>
  </si>
  <si>
    <t>Expenses</t>
  </si>
  <si>
    <t>Operating Profit</t>
  </si>
  <si>
    <t>BALANCE SHEET</t>
  </si>
  <si>
    <t>Net Block</t>
  </si>
  <si>
    <t>New Bonus Shares</t>
  </si>
  <si>
    <t>Face value</t>
  </si>
  <si>
    <t>CASH FLOW:</t>
  </si>
  <si>
    <t>PRICE:</t>
  </si>
  <si>
    <t>DERIVED:</t>
  </si>
  <si>
    <t>Adjusted Equity Shares in 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</si>
</sst>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0.0%"/>
    <numFmt numFmtId="165" formatCode="[$₹-439]#,##0;[$₹-439]\(#,##0\);\-"/>
    <numFmt numFmtId="166" formatCode="[$₹-439]#,##0.00;[$₹-439]\(#,##0.00\);\-"/>
    <numFmt numFmtId="167" formatCode="\+0.00%;\-0.00%;0.00%"/>
    <numFmt numFmtId="168" formatCode="[$-409]mmm\-yy"/>
    <numFmt numFmtId="169" formatCode="[$₹-439]#,##0.00;[$₹-439]\-#,##0.00"/>
    <numFmt numFmtId="170" formatCode="_ * #,##0.00_ ;_ * \-#,##0.00_ ;_ * \-??_ ;_ @_ "/>
    <numFmt numFmtId="171" formatCode="mm/dd/yy\ hh:mm\ AM/PM"/>
    <numFmt numFmtId="172" formatCode="0.00\x"/>
    <numFmt numFmtId="173" formatCode="0&quot; days&quot;"/>
    <numFmt numFmtId="174" formatCode="[$₹-439]#,##0.00"/>
    <numFmt numFmtId="175" formatCode="#,##0.00_);\(#,##0.00\);\-"/>
    <numFmt numFmtId="176" formatCode="_(* #,##0.00_);_(* \(#,##0.00\);_(* \-??_);_(@_)"/>
  </numFmts>
  <fonts count="22" x14ac:knownFonts="1">
    <font>
      <sz val="11"/>
      <name val="Arial"/>
      <charset val="1"/>
    </font>
    <font>
      <b/>
      <sz val="16"/>
      <color rgb="FFFFFFFF"/>
      <name val="Calibri"/>
      <charset val="1"/>
    </font>
    <font>
      <b/>
      <sz val="11"/>
      <color rgb="FFFFFFFF"/>
      <name val="Calibri"/>
      <charset val="1"/>
    </font>
    <font>
      <sz val="9"/>
      <color rgb="FF000000"/>
      <name val="Calibri"/>
      <charset val="1"/>
    </font>
    <font>
      <b/>
      <sz val="9.5"/>
      <color rgb="FF000000"/>
      <name val="Calibri"/>
      <charset val="1"/>
    </font>
    <font>
      <b/>
      <sz val="9"/>
      <name val="Calibri"/>
      <charset val="1"/>
    </font>
    <font>
      <sz val="9"/>
      <name val="Calibri"/>
      <charset val="1"/>
    </font>
    <font>
      <i/>
      <sz val="8"/>
      <color rgb="FF595959"/>
      <name val="Calibri"/>
      <charset val="1"/>
    </font>
    <font>
      <b/>
      <i/>
      <sz val="8.5"/>
      <color rgb="FF595959"/>
      <name val="Calibri"/>
      <charset val="1"/>
    </font>
    <font>
      <b/>
      <sz val="11"/>
      <color rgb="FFF2F2F2"/>
      <name val="Calibri"/>
      <charset val="1"/>
    </font>
    <font>
      <sz val="11"/>
      <name val="Calibri"/>
      <charset val="1"/>
    </font>
    <font>
      <i/>
      <sz val="9"/>
      <color rgb="FF595959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b/>
      <sz val="11"/>
      <name val="Calibri"/>
      <charset val="1"/>
    </font>
    <font>
      <sz val="11"/>
      <color rgb="FFA5A5A5"/>
      <name val="Calibri"/>
      <charset val="1"/>
    </font>
    <font>
      <b/>
      <sz val="14"/>
      <color rgb="FFFFFFFF"/>
      <name val="Calibri"/>
      <charset val="1"/>
    </font>
    <font>
      <sz val="11"/>
      <color rgb="FF0000FF"/>
      <name val="Calibri"/>
      <charset val="1"/>
    </font>
    <font>
      <b/>
      <i/>
      <sz val="9"/>
      <color rgb="FFC00000"/>
      <name val="Calibri"/>
      <charset val="1"/>
    </font>
    <font>
      <sz val="11"/>
      <color rgb="FFF2F2F2"/>
      <name val="Calibri"/>
      <charset val="1"/>
    </font>
    <font>
      <i/>
      <sz val="11"/>
      <color rgb="FFA5A5A5"/>
      <name val="Calibri"/>
      <charset val="1"/>
    </font>
    <font>
      <i/>
      <sz val="11"/>
      <color rgb="FFBFBFBF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2A4A75"/>
        <bgColor rgb="FF2B4A76"/>
      </patternFill>
    </fill>
    <fill>
      <patternFill patternType="solid">
        <fgColor rgb="FFD8D8D8"/>
        <bgColor rgb="FFD9D9D9"/>
      </patternFill>
    </fill>
    <fill>
      <patternFill patternType="solid">
        <fgColor rgb="FFBFBFBF"/>
        <bgColor rgb="FFB7B7B7"/>
      </patternFill>
    </fill>
    <fill>
      <patternFill patternType="solid">
        <fgColor rgb="FF0275D8"/>
        <bgColor rgb="FF008080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DDDDDD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/>
      <bottom style="dotted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9" fillId="2" borderId="0" xfId="0" applyFont="1" applyFill="1" applyBorder="1" applyAlignment="1">
      <alignment horizontal="center" vertical="center"/>
    </xf>
    <xf numFmtId="166" fontId="10" fillId="0" borderId="0" xfId="0" applyNumberFormat="1" applyFont="1" applyBorder="1" applyAlignment="1">
      <alignment horizontal="center"/>
    </xf>
    <xf numFmtId="0" fontId="11" fillId="0" borderId="0" xfId="0" applyFont="1" applyBorder="1" applyAlignment="1">
      <alignment horizontal="left" vertical="center" wrapText="1"/>
    </xf>
    <xf numFmtId="10" fontId="10" fillId="3" borderId="0" xfId="0" applyNumberFormat="1" applyFont="1" applyFill="1" applyBorder="1" applyAlignment="1">
      <alignment horizontal="center"/>
    </xf>
    <xf numFmtId="166" fontId="10" fillId="3" borderId="0" xfId="0" applyNumberFormat="1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9" fillId="2" borderId="0" xfId="0" applyFont="1" applyFill="1" applyBorder="1" applyAlignment="1">
      <alignment horizontal="center"/>
    </xf>
    <xf numFmtId="0" fontId="8" fillId="0" borderId="0" xfId="0" applyFont="1" applyBorder="1" applyAlignment="1">
      <alignment vertical="top" wrapText="1"/>
    </xf>
    <xf numFmtId="0" fontId="7" fillId="0" borderId="0" xfId="0" applyFont="1" applyBorder="1" applyAlignment="1"/>
    <xf numFmtId="0" fontId="0" fillId="0" borderId="0" xfId="0" applyBorder="1" applyAlignment="1"/>
    <xf numFmtId="0" fontId="4" fillId="0" borderId="0" xfId="0" applyFont="1" applyBorder="1" applyAlignment="1">
      <alignment vertical="top" wrapText="1"/>
    </xf>
    <xf numFmtId="0" fontId="3" fillId="0" borderId="0" xfId="0" applyFont="1" applyBorder="1" applyAlignment="1">
      <alignment vertical="top" wrapText="1"/>
    </xf>
    <xf numFmtId="0" fontId="2" fillId="2" borderId="0" xfId="0" applyFont="1" applyFill="1" applyBorder="1" applyAlignment="1">
      <alignment vertical="center" indent="1"/>
    </xf>
    <xf numFmtId="0" fontId="1" fillId="2" borderId="0" xfId="0" applyFont="1" applyFill="1" applyBorder="1" applyAlignment="1">
      <alignment horizontal="left" vertical="center" indent="1"/>
    </xf>
    <xf numFmtId="0" fontId="0" fillId="0" borderId="0" xfId="0" applyAlignment="1"/>
    <xf numFmtId="0" fontId="5" fillId="0" borderId="0" xfId="0" applyFont="1" applyAlignment="1"/>
    <xf numFmtId="0" fontId="6" fillId="0" borderId="0" xfId="0" applyFont="1" applyAlignment="1"/>
    <xf numFmtId="164" fontId="0" fillId="0" borderId="0" xfId="0" applyNumberFormat="1" applyAlignment="1"/>
    <xf numFmtId="0" fontId="7" fillId="0" borderId="0" xfId="0" applyFont="1" applyAlignment="1"/>
    <xf numFmtId="0" fontId="5" fillId="3" borderId="0" xfId="0" applyFont="1" applyFill="1" applyAlignment="1">
      <alignment wrapText="1"/>
    </xf>
    <xf numFmtId="165" fontId="0" fillId="0" borderId="0" xfId="0" applyNumberFormat="1" applyAlignment="1"/>
    <xf numFmtId="0" fontId="9" fillId="0" borderId="0" xfId="0" applyFont="1" applyAlignment="1"/>
    <xf numFmtId="0" fontId="10" fillId="0" borderId="0" xfId="0" applyFont="1" applyAlignment="1">
      <alignment horizontal="center"/>
    </xf>
    <xf numFmtId="10" fontId="10" fillId="0" borderId="0" xfId="0" applyNumberFormat="1" applyFont="1" applyAlignment="1"/>
    <xf numFmtId="0" fontId="10" fillId="0" borderId="0" xfId="0" applyFont="1" applyAlignment="1"/>
    <xf numFmtId="167" fontId="10" fillId="0" borderId="0" xfId="0" applyNumberFormat="1" applyFont="1" applyAlignment="1"/>
    <xf numFmtId="0" fontId="12" fillId="3" borderId="1" xfId="0" applyFont="1" applyFill="1" applyBorder="1" applyAlignment="1">
      <alignment horizontal="center" vertical="center"/>
    </xf>
    <xf numFmtId="17" fontId="13" fillId="0" borderId="1" xfId="0" applyNumberFormat="1" applyFont="1" applyBorder="1" applyAlignment="1">
      <alignment horizontal="center" vertical="center"/>
    </xf>
    <xf numFmtId="166" fontId="13" fillId="0" borderId="1" xfId="0" applyNumberFormat="1" applyFont="1" applyBorder="1" applyAlignment="1">
      <alignment horizontal="center" vertical="center"/>
    </xf>
    <xf numFmtId="10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2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168" fontId="12" fillId="0" borderId="1" xfId="0" applyNumberFormat="1" applyFont="1" applyBorder="1" applyAlignment="1">
      <alignment horizontal="center" vertical="center"/>
    </xf>
    <xf numFmtId="0" fontId="13" fillId="0" borderId="0" xfId="0" applyFont="1" applyAlignment="1"/>
    <xf numFmtId="168" fontId="13" fillId="0" borderId="1" xfId="0" applyNumberFormat="1" applyFont="1" applyBorder="1" applyAlignment="1">
      <alignment horizontal="center" vertical="center"/>
    </xf>
    <xf numFmtId="0" fontId="14" fillId="0" borderId="0" xfId="0" applyFont="1" applyAlignment="1"/>
    <xf numFmtId="168" fontId="9" fillId="2" borderId="0" xfId="0" applyNumberFormat="1" applyFont="1" applyFill="1" applyAlignment="1">
      <alignment horizontal="center"/>
    </xf>
    <xf numFmtId="0" fontId="14" fillId="3" borderId="0" xfId="0" applyFont="1" applyFill="1" applyAlignment="1"/>
    <xf numFmtId="166" fontId="10" fillId="0" borderId="0" xfId="0" applyNumberFormat="1" applyFont="1" applyAlignment="1"/>
    <xf numFmtId="166" fontId="15" fillId="0" borderId="0" xfId="0" applyNumberFormat="1" applyFont="1" applyAlignment="1"/>
    <xf numFmtId="166" fontId="14" fillId="0" borderId="0" xfId="0" applyNumberFormat="1" applyFont="1" applyAlignment="1"/>
    <xf numFmtId="0" fontId="15" fillId="0" borderId="0" xfId="0" applyFont="1" applyAlignment="1"/>
    <xf numFmtId="10" fontId="15" fillId="0" borderId="0" xfId="0" applyNumberFormat="1" applyFont="1" applyAlignment="1"/>
    <xf numFmtId="169" fontId="10" fillId="0" borderId="0" xfId="0" applyNumberFormat="1" applyFont="1" applyAlignment="1"/>
    <xf numFmtId="170" fontId="10" fillId="0" borderId="0" xfId="0" applyNumberFormat="1" applyFont="1" applyAlignment="1"/>
    <xf numFmtId="0" fontId="11" fillId="0" borderId="0" xfId="0" applyFont="1" applyAlignment="1"/>
    <xf numFmtId="0" fontId="14" fillId="0" borderId="0" xfId="0" applyFont="1" applyAlignment="1">
      <alignment wrapText="1"/>
    </xf>
    <xf numFmtId="166" fontId="14" fillId="0" borderId="0" xfId="0" applyNumberFormat="1" applyFont="1" applyAlignment="1">
      <alignment wrapText="1"/>
    </xf>
    <xf numFmtId="166" fontId="0" fillId="0" borderId="0" xfId="0" applyNumberFormat="1" applyAlignment="1"/>
    <xf numFmtId="166" fontId="10" fillId="3" borderId="0" xfId="0" applyNumberFormat="1" applyFont="1" applyFill="1" applyAlignment="1"/>
    <xf numFmtId="0" fontId="10" fillId="3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164" fontId="15" fillId="0" borderId="0" xfId="0" applyNumberFormat="1" applyFont="1" applyAlignment="1"/>
    <xf numFmtId="164" fontId="10" fillId="0" borderId="0" xfId="0" applyNumberFormat="1" applyFont="1" applyAlignment="1"/>
    <xf numFmtId="0" fontId="14" fillId="4" borderId="0" xfId="0" applyFont="1" applyFill="1" applyAlignment="1"/>
    <xf numFmtId="0" fontId="11" fillId="0" borderId="0" xfId="0" applyFont="1" applyAlignment="1">
      <alignment vertical="top" wrapText="1"/>
    </xf>
    <xf numFmtId="0" fontId="0" fillId="0" borderId="2" xfId="0" applyBorder="1" applyAlignment="1"/>
    <xf numFmtId="0" fontId="0" fillId="0" borderId="2" xfId="0" applyFont="1" applyBorder="1" applyAlignment="1">
      <alignment vertical="top" wrapText="1"/>
    </xf>
    <xf numFmtId="164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  <xf numFmtId="166" fontId="0" fillId="0" borderId="2" xfId="0" applyNumberFormat="1" applyBorder="1" applyAlignment="1">
      <alignment vertical="top"/>
    </xf>
    <xf numFmtId="0" fontId="0" fillId="0" borderId="0" xfId="0" applyFont="1" applyAlignment="1">
      <alignment vertical="top" wrapText="1"/>
    </xf>
    <xf numFmtId="171" fontId="0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10" fontId="0" fillId="0" borderId="0" xfId="0" applyNumberFormat="1" applyAlignment="1"/>
    <xf numFmtId="0" fontId="14" fillId="0" borderId="0" xfId="0" applyFont="1" applyAlignment="1">
      <alignment horizontal="right"/>
    </xf>
    <xf numFmtId="0" fontId="14" fillId="0" borderId="0" xfId="0" applyFont="1" applyAlignment="1">
      <alignment vertical="top" wrapText="1"/>
    </xf>
    <xf numFmtId="10" fontId="17" fillId="0" borderId="0" xfId="0" applyNumberFormat="1" applyFont="1" applyAlignment="1"/>
    <xf numFmtId="0" fontId="10" fillId="0" borderId="0" xfId="0" applyFont="1" applyAlignment="1">
      <alignment horizontal="right"/>
    </xf>
    <xf numFmtId="164" fontId="14" fillId="0" borderId="3" xfId="0" applyNumberFormat="1" applyFont="1" applyBorder="1" applyAlignment="1"/>
    <xf numFmtId="10" fontId="10" fillId="0" borderId="0" xfId="0" applyNumberFormat="1" applyFont="1" applyAlignment="1">
      <alignment horizontal="right"/>
    </xf>
    <xf numFmtId="164" fontId="10" fillId="0" borderId="0" xfId="0" applyNumberFormat="1" applyFont="1" applyAlignment="1">
      <alignment horizontal="right"/>
    </xf>
    <xf numFmtId="10" fontId="17" fillId="0" borderId="0" xfId="0" applyNumberFormat="1" applyFont="1" applyAlignment="1">
      <alignment horizontal="right"/>
    </xf>
    <xf numFmtId="0" fontId="14" fillId="3" borderId="0" xfId="0" applyFont="1" applyFill="1" applyAlignment="1">
      <alignment horizontal="right"/>
    </xf>
    <xf numFmtId="164" fontId="14" fillId="0" borderId="3" xfId="0" applyNumberFormat="1" applyFont="1" applyBorder="1" applyAlignment="1">
      <alignment horizontal="right"/>
    </xf>
    <xf numFmtId="0" fontId="10" fillId="3" borderId="0" xfId="0" applyFont="1" applyFill="1" applyAlignment="1"/>
    <xf numFmtId="170" fontId="14" fillId="0" borderId="0" xfId="0" applyNumberFormat="1" applyFont="1" applyAlignment="1">
      <alignment vertical="top" wrapText="1"/>
    </xf>
    <xf numFmtId="0" fontId="10" fillId="0" borderId="0" xfId="0" applyFont="1" applyAlignment="1">
      <alignment vertical="top" wrapText="1"/>
    </xf>
    <xf numFmtId="170" fontId="10" fillId="0" borderId="0" xfId="0" applyNumberFormat="1" applyFont="1" applyAlignment="1">
      <alignment vertical="top" wrapText="1"/>
    </xf>
    <xf numFmtId="168" fontId="14" fillId="3" borderId="0" xfId="0" applyNumberFormat="1" applyFont="1" applyFill="1" applyAlignment="1"/>
    <xf numFmtId="0" fontId="10" fillId="0" borderId="4" xfId="0" applyFont="1" applyBorder="1" applyAlignment="1"/>
    <xf numFmtId="10" fontId="10" fillId="0" borderId="4" xfId="0" applyNumberFormat="1" applyFont="1" applyBorder="1" applyAlignment="1"/>
    <xf numFmtId="0" fontId="14" fillId="0" borderId="4" xfId="0" applyFont="1" applyBorder="1" applyAlignment="1"/>
    <xf numFmtId="10" fontId="14" fillId="0" borderId="4" xfId="0" applyNumberFormat="1" applyFont="1" applyBorder="1" applyAlignment="1"/>
    <xf numFmtId="0" fontId="19" fillId="2" borderId="0" xfId="0" applyFont="1" applyFill="1" applyAlignment="1"/>
    <xf numFmtId="17" fontId="19" fillId="2" borderId="0" xfId="0" applyNumberFormat="1" applyFont="1" applyFill="1" applyAlignment="1"/>
    <xf numFmtId="17" fontId="19" fillId="2" borderId="0" xfId="0" applyNumberFormat="1" applyFont="1" applyFill="1" applyAlignment="1">
      <alignment horizontal="center"/>
    </xf>
    <xf numFmtId="0" fontId="10" fillId="0" borderId="5" xfId="0" applyFont="1" applyBorder="1" applyAlignment="1"/>
    <xf numFmtId="10" fontId="10" fillId="0" borderId="5" xfId="0" applyNumberFormat="1" applyFont="1" applyBorder="1" applyAlignment="1"/>
    <xf numFmtId="0" fontId="10" fillId="0" borderId="6" xfId="0" applyFont="1" applyBorder="1" applyAlignment="1"/>
    <xf numFmtId="10" fontId="10" fillId="0" borderId="6" xfId="0" applyNumberFormat="1" applyFont="1" applyBorder="1" applyAlignment="1"/>
    <xf numFmtId="0" fontId="10" fillId="0" borderId="3" xfId="0" applyFont="1" applyBorder="1" applyAlignment="1"/>
    <xf numFmtId="10" fontId="10" fillId="0" borderId="3" xfId="0" applyNumberFormat="1" applyFont="1" applyBorder="1" applyAlignment="1"/>
    <xf numFmtId="0" fontId="10" fillId="0" borderId="7" xfId="0" applyFont="1" applyBorder="1" applyAlignment="1"/>
    <xf numFmtId="10" fontId="10" fillId="0" borderId="7" xfId="0" applyNumberFormat="1" applyFont="1" applyBorder="1" applyAlignment="1"/>
    <xf numFmtId="172" fontId="10" fillId="0" borderId="6" xfId="0" applyNumberFormat="1" applyFont="1" applyBorder="1" applyAlignment="1"/>
    <xf numFmtId="172" fontId="10" fillId="0" borderId="5" xfId="0" applyNumberFormat="1" applyFont="1" applyBorder="1" applyAlignment="1"/>
    <xf numFmtId="172" fontId="10" fillId="0" borderId="0" xfId="0" applyNumberFormat="1" applyFont="1" applyAlignment="1"/>
    <xf numFmtId="173" fontId="10" fillId="0" borderId="5" xfId="0" applyNumberFormat="1" applyFont="1" applyBorder="1" applyAlignment="1"/>
    <xf numFmtId="173" fontId="10" fillId="0" borderId="0" xfId="0" applyNumberFormat="1" applyFont="1" applyAlignment="1"/>
    <xf numFmtId="173" fontId="10" fillId="0" borderId="6" xfId="0" applyNumberFormat="1" applyFont="1" applyBorder="1" applyAlignment="1"/>
    <xf numFmtId="166" fontId="10" fillId="0" borderId="4" xfId="0" applyNumberFormat="1" applyFont="1" applyBorder="1" applyAlignment="1"/>
    <xf numFmtId="174" fontId="10" fillId="0" borderId="0" xfId="0" applyNumberFormat="1" applyFont="1" applyAlignment="1"/>
    <xf numFmtId="0" fontId="20" fillId="0" borderId="4" xfId="0" applyFont="1" applyBorder="1" applyAlignment="1"/>
    <xf numFmtId="175" fontId="20" fillId="0" borderId="4" xfId="0" applyNumberFormat="1" applyFont="1" applyBorder="1" applyAlignment="1"/>
    <xf numFmtId="10" fontId="20" fillId="0" borderId="4" xfId="0" applyNumberFormat="1" applyFont="1" applyBorder="1" applyAlignment="1"/>
    <xf numFmtId="166" fontId="14" fillId="0" borderId="4" xfId="0" applyNumberFormat="1" applyFont="1" applyBorder="1" applyAlignment="1"/>
    <xf numFmtId="0" fontId="21" fillId="0" borderId="4" xfId="0" applyFont="1" applyBorder="1" applyAlignment="1"/>
    <xf numFmtId="176" fontId="10" fillId="0" borderId="4" xfId="0" applyNumberFormat="1" applyFont="1" applyBorder="1" applyAlignment="1"/>
    <xf numFmtId="0" fontId="10" fillId="0" borderId="4" xfId="0" applyFont="1" applyBorder="1" applyAlignment="1"/>
    <xf numFmtId="170" fontId="14" fillId="0" borderId="0" xfId="0" applyNumberFormat="1" applyFont="1" applyAlignment="1"/>
    <xf numFmtId="168" fontId="14" fillId="5" borderId="0" xfId="0" applyNumberFormat="1" applyFont="1" applyFill="1" applyAlignment="1"/>
    <xf numFmtId="168" fontId="14" fillId="5" borderId="0" xfId="0" applyNumberFormat="1" applyFont="1" applyFill="1" applyAlignment="1">
      <alignment horizontal="center"/>
    </xf>
    <xf numFmtId="176" fontId="10" fillId="0" borderId="0" xfId="0" applyNumberFormat="1" applyFont="1" applyAlignment="1"/>
    <xf numFmtId="0" fontId="12" fillId="0" borderId="0" xfId="0" applyFont="1" applyBorder="1" applyAlignment="1">
      <alignment horizontal="center" vertical="center"/>
    </xf>
    <xf numFmtId="166" fontId="13" fillId="3" borderId="0" xfId="0" applyNumberFormat="1" applyFont="1" applyFill="1" applyBorder="1" applyAlignment="1">
      <alignment horizontal="center" vertical="center"/>
    </xf>
    <xf numFmtId="10" fontId="13" fillId="3" borderId="0" xfId="0" applyNumberFormat="1" applyFont="1" applyFill="1" applyBorder="1" applyAlignment="1">
      <alignment horizontal="center" vertical="center"/>
    </xf>
    <xf numFmtId="0" fontId="9" fillId="2" borderId="0" xfId="0" applyFont="1" applyFill="1" applyBorder="1" applyAlignment="1"/>
    <xf numFmtId="0" fontId="11" fillId="0" borderId="0" xfId="0" applyFont="1" applyBorder="1" applyAlignment="1">
      <alignment vertical="top" wrapText="1"/>
    </xf>
    <xf numFmtId="0" fontId="16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horizontal="center"/>
    </xf>
    <xf numFmtId="0" fontId="18" fillId="0" borderId="0" xfId="0" applyFont="1" applyBorder="1" applyAlignment="1">
      <alignment horizontal="left" vertical="top" wrapText="1"/>
    </xf>
    <xf numFmtId="0" fontId="19" fillId="2" borderId="0" xfId="0" applyFont="1" applyFill="1" applyBorder="1" applyAlignment="1">
      <alignment horizontal="center"/>
    </xf>
    <xf numFmtId="170" fontId="10" fillId="0" borderId="0" xfId="0" applyNumberFormat="1" applyFont="1" applyBorder="1" applyAlignment="1">
      <alignment horizontal="center"/>
    </xf>
    <xf numFmtId="170" fontId="14" fillId="0" borderId="0" xfId="0" applyNumberFormat="1" applyFont="1" applyBorder="1" applyAlignment="1">
      <alignment horizontal="center"/>
    </xf>
  </cellXfs>
  <cellStyles count="1">
    <cellStyle name="Normal" xfId="0" builtinId="0"/>
  </cellStyles>
  <dxfs count="3">
    <dxf>
      <font>
        <b/>
        <color rgb="FFFFFFFF"/>
      </font>
    </dxf>
    <dxf>
      <font>
        <b/>
        <color rgb="FFDA1F28"/>
      </font>
    </dxf>
    <dxf>
      <font>
        <b/>
        <color rgb="FF2DA2BF"/>
      </font>
    </dxf>
  </dxfs>
  <tableStyles count="0" defaultTableStyle="TableStyleMedium2" defaultPivotStyle="PivotStyleLight16"/>
  <colors>
    <indexedColors>
      <rgbColor rgb="FF000000"/>
      <rgbColor rgb="FFFFFFFF"/>
      <rgbColor rgb="FFDA1F28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39639D"/>
      <rgbColor rgb="FFBFBFBF"/>
      <rgbColor rgb="FF808080"/>
      <rgbColor rgb="FFA6A6A6"/>
      <rgbColor rgb="FF993366"/>
      <rgbColor rgb="FFF2F2F2"/>
      <rgbColor rgb="FFCCFFFF"/>
      <rgbColor rgb="FF660066"/>
      <rgbColor rgb="FFFF8080"/>
      <rgbColor rgb="FF0275D8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B7B7B7"/>
      <rgbColor rgb="FFFF99CC"/>
      <rgbColor rgb="FFCC99FF"/>
      <rgbColor rgb="FFD9D9D9"/>
      <rgbColor rgb="FF4285F4"/>
      <rgbColor rgb="FF33CCCC"/>
      <rgbColor rgb="FF99CC00"/>
      <rgbColor rgb="FFFFCC00"/>
      <rgbColor rgb="FFFF9900"/>
      <rgbColor rgb="FFEB641B"/>
      <rgbColor rgb="FF595959"/>
      <rgbColor rgb="FFA5A5A5"/>
      <rgbColor rgb="FF002060"/>
      <rgbColor rgb="FF2DA2BF"/>
      <rgbColor rgb="FF003300"/>
      <rgbColor rgb="FF333300"/>
      <rgbColor rgb="FF993300"/>
      <rgbColor rgb="FF993366"/>
      <rgbColor rgb="FF2B4A76"/>
      <rgbColor rgb="FF2A4A7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3" Type="http://schemas.openxmlformats.org/officeDocument/2006/relationships/worksheet" Target="worksheets/sheet3.xml" /><Relationship Id="rId21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10" Type="http://schemas.openxmlformats.org/officeDocument/2006/relationships/worksheet" Target="worksheets/sheet10.xml" /><Relationship Id="rId19" Type="http://schemas.openxmlformats.org/officeDocument/2006/relationships/theme" Target="theme/theme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calcChain" Target="calcChain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Revenue: Actual vs Budget by Month (Q1 FY26-27)</a:t>
            </a:r>
          </a:p>
        </c:rich>
      </c:tx>
      <c:layout>
        <c:manualLayout>
          <c:xMode val="edge"/>
          <c:yMode val="edge"/>
          <c:x val="0.11612456747404799"/>
          <c:y val="2.6494000237614401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"Actuals"</c:f>
              <c:strCache>
                <c:ptCount val="1"/>
                <c:pt idx="0">
                  <c:v>Actuals</c:v>
                </c:pt>
              </c:strCache>
            </c:strRef>
          </c:tx>
          <c:spPr>
            <a:solidFill>
              <a:srgbClr val="39639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'Budget VS Actual Dashboard'!$B$10:$B$12</c:f>
              <c:numCache>
                <c:formatCode>mmm\-yy</c:formatCode>
                <c:ptCount val="3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</c:numCache>
            </c:numRef>
          </c:cat>
          <c:val>
            <c:numRef>
              <c:f>'Budget VS Actual Dashboard'!$C$10:$C$12</c:f>
              <c:numCache>
                <c:formatCode>[$₹-439]#,##0.00;[$₹-439]\(#,##0.00\);\-</c:formatCode>
                <c:ptCount val="3"/>
                <c:pt idx="0">
                  <c:v>1977.2358000000002</c:v>
                </c:pt>
                <c:pt idx="1">
                  <c:v>2104.7994000000003</c:v>
                </c:pt>
                <c:pt idx="2">
                  <c:v>2296.1448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41-3B4E-8A54-4D62A38F63CC}"/>
            </c:ext>
          </c:extLst>
        </c:ser>
        <c:ser>
          <c:idx val="1"/>
          <c:order val="1"/>
          <c:tx>
            <c:strRef>
              <c:f>"Budget"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A6A6A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'Budget VS Actual Dashboard'!$B$10:$B$12</c:f>
              <c:numCache>
                <c:formatCode>mmm\-yy</c:formatCode>
                <c:ptCount val="3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</c:numCache>
            </c:numRef>
          </c:cat>
          <c:val>
            <c:numRef>
              <c:f>'Budget VS Actual Dashboard'!$D$10:$D$12</c:f>
              <c:numCache>
                <c:formatCode>[$₹-439]#,##0.00;[$₹-439]\(#,##0.00\);\-</c:formatCode>
                <c:ptCount val="3"/>
                <c:pt idx="0">
                  <c:v>2179.5364800000002</c:v>
                </c:pt>
                <c:pt idx="1">
                  <c:v>1737.7905600000001</c:v>
                </c:pt>
                <c:pt idx="2">
                  <c:v>1849.9060800000002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41-3B4E-8A54-4D62A38F6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560285"/>
        <c:axId val="64037230"/>
      </c:barChart>
      <c:dateAx>
        <c:axId val="55560285"/>
        <c:scaling>
          <c:orientation val="minMax"/>
        </c:scaling>
        <c:delete val="0"/>
        <c:axPos val="b"/>
        <c:numFmt formatCode="[$-409]mmm\-yy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037230"/>
        <c:crosses val="autoZero"/>
        <c:auto val="1"/>
        <c:lblOffset val="100"/>
        <c:baseTimeUnit val="months"/>
      </c:dateAx>
      <c:valAx>
        <c:axId val="64037230"/>
        <c:scaling>
          <c:orientation val="minMax"/>
        </c:scaling>
        <c:delete val="0"/>
        <c:axPos val="l"/>
        <c:majorGridlines>
          <c:spPr>
            <a:ln w="1260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₹ Crore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56028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EBITDA Bridge - Q1 FY26-27 Budget to Actual (Rs Crore)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"Base"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4285F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'Budget VS Actual Dashboard'!$B$34:$B$39</c:f>
              <c:strCache>
                <c:ptCount val="6"/>
                <c:pt idx="0">
                  <c:v>Q1 Budget EBITDA</c:v>
                </c:pt>
                <c:pt idx="1">
                  <c:v>Revenue Variance</c:v>
                </c:pt>
                <c:pt idx="2">
                  <c:v>COGS Impact</c:v>
                </c:pt>
                <c:pt idx="3">
                  <c:v>Employee Cost Impact</c:v>
                </c:pt>
                <c:pt idx="4">
                  <c:v>Other Opex Impact</c:v>
                </c:pt>
                <c:pt idx="5">
                  <c:v>Q1 Actual EBITDA</c:v>
                </c:pt>
              </c:strCache>
            </c:strRef>
          </c:cat>
          <c:val>
            <c:numRef>
              <c:f>'Budget VS Actual Dashboard'!$F$34:$F$39</c:f>
              <c:numCache>
                <c:formatCode>[$₹-439]#,##0.00;[$₹-439]\(#,##0.00\);\-</c:formatCode>
                <c:ptCount val="6"/>
                <c:pt idx="0">
                  <c:v>0</c:v>
                </c:pt>
                <c:pt idx="1">
                  <c:v>1320.69638448</c:v>
                </c:pt>
                <c:pt idx="2">
                  <c:v>1773.5049650399994</c:v>
                </c:pt>
                <c:pt idx="3">
                  <c:v>1722.8761432799993</c:v>
                </c:pt>
                <c:pt idx="4">
                  <c:v>1538.1299999999994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1B-6143-8789-AAAE017F3FF1}"/>
            </c:ext>
          </c:extLst>
        </c:ser>
        <c:ser>
          <c:idx val="1"/>
          <c:order val="1"/>
          <c:tx>
            <c:strRef>
              <c:f>"Increase"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rgbClr val="2DA2B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'Budget VS Actual Dashboard'!$B$34:$B$39</c:f>
              <c:strCache>
                <c:ptCount val="6"/>
                <c:pt idx="0">
                  <c:v>Q1 Budget EBITDA</c:v>
                </c:pt>
                <c:pt idx="1">
                  <c:v>Revenue Variance</c:v>
                </c:pt>
                <c:pt idx="2">
                  <c:v>COGS Impact</c:v>
                </c:pt>
                <c:pt idx="3">
                  <c:v>Employee Cost Impact</c:v>
                </c:pt>
                <c:pt idx="4">
                  <c:v>Other Opex Impact</c:v>
                </c:pt>
                <c:pt idx="5">
                  <c:v>Q1 Actual EBITDA</c:v>
                </c:pt>
              </c:strCache>
            </c:strRef>
          </c:cat>
          <c:val>
            <c:numRef>
              <c:f>'Budget VS Actual Dashboard'!$G$34:$G$39</c:f>
              <c:numCache>
                <c:formatCode>[$₹-439]#,##0.00;[$₹-439]\(#,##0.00\);\-</c:formatCode>
                <c:ptCount val="6"/>
                <c:pt idx="0">
                  <c:v>0</c:v>
                </c:pt>
                <c:pt idx="1">
                  <c:v>610.94687999999951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1B-6143-8789-AAAE017F3FF1}"/>
            </c:ext>
          </c:extLst>
        </c:ser>
        <c:ser>
          <c:idx val="2"/>
          <c:order val="2"/>
          <c:tx>
            <c:strRef>
              <c:f>"Decrease"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DA1F28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'Budget VS Actual Dashboard'!$B$34:$B$39</c:f>
              <c:strCache>
                <c:ptCount val="6"/>
                <c:pt idx="0">
                  <c:v>Q1 Budget EBITDA</c:v>
                </c:pt>
                <c:pt idx="1">
                  <c:v>Revenue Variance</c:v>
                </c:pt>
                <c:pt idx="2">
                  <c:v>COGS Impact</c:v>
                </c:pt>
                <c:pt idx="3">
                  <c:v>Employee Cost Impact</c:v>
                </c:pt>
                <c:pt idx="4">
                  <c:v>Other Opex Impact</c:v>
                </c:pt>
                <c:pt idx="5">
                  <c:v>Q1 Actual EBITDA</c:v>
                </c:pt>
              </c:strCache>
            </c:strRef>
          </c:cat>
          <c:val>
            <c:numRef>
              <c:f>'Budget VS Actual Dashboard'!$H$34:$H$39</c:f>
              <c:numCache>
                <c:formatCode>[$₹-439]#,##0.00;[$₹-439]\(#,##0.00\);\-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158.13829944000008</c:v>
                </c:pt>
                <c:pt idx="3">
                  <c:v>50.628821760000051</c:v>
                </c:pt>
                <c:pt idx="4">
                  <c:v>184.74614327999984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1B-6143-8789-AAAE017F3FF1}"/>
            </c:ext>
          </c:extLst>
        </c:ser>
        <c:ser>
          <c:idx val="3"/>
          <c:order val="3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B4A7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'Budget VS Actual Dashboard'!$B$34:$B$39</c:f>
              <c:strCache>
                <c:ptCount val="6"/>
                <c:pt idx="0">
                  <c:v>Q1 Budget EBITDA</c:v>
                </c:pt>
                <c:pt idx="1">
                  <c:v>Revenue Variance</c:v>
                </c:pt>
                <c:pt idx="2">
                  <c:v>COGS Impact</c:v>
                </c:pt>
                <c:pt idx="3">
                  <c:v>Employee Cost Impact</c:v>
                </c:pt>
                <c:pt idx="4">
                  <c:v>Other Opex Impact</c:v>
                </c:pt>
                <c:pt idx="5">
                  <c:v>Q1 Actual EBITDA</c:v>
                </c:pt>
              </c:strCache>
            </c:strRef>
          </c:cat>
          <c:val>
            <c:numRef>
              <c:f>'Budget VS Actual Dashboard'!$I$34:$I$39</c:f>
              <c:numCache>
                <c:formatCode>[$₹-439]#,##0.00;[$₹-439]\(#,##0.00\);\-</c:formatCode>
                <c:ptCount val="6"/>
                <c:pt idx="0">
                  <c:v>1320.69638448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1538.1300000000003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1B-6143-8789-AAAE017F3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2527226"/>
        <c:axId val="88010734"/>
      </c:barChart>
      <c:catAx>
        <c:axId val="5252722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010734"/>
        <c:crosses val="autoZero"/>
        <c:auto val="1"/>
        <c:lblAlgn val="ctr"/>
        <c:lblOffset val="100"/>
        <c:noMultiLvlLbl val="0"/>
      </c:catAx>
      <c:valAx>
        <c:axId val="88010734"/>
        <c:scaling>
          <c:orientation val="minMax"/>
        </c:scaling>
        <c:delete val="0"/>
        <c:axPos val="l"/>
        <c:majorGridlines>
          <c:spPr>
            <a:ln w="1260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Rs Crore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52722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Cost Structure: Actual vs Budget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"Budget"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A6A6A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'Budget VS Actual Dashboard'!$J$10:$J$12</c:f>
              <c:strCache>
                <c:ptCount val="3"/>
                <c:pt idx="0">
                  <c:v>COGS</c:v>
                </c:pt>
                <c:pt idx="1">
                  <c:v>Employee Cost</c:v>
                </c:pt>
                <c:pt idx="2">
                  <c:v>Other Operating Expenses</c:v>
                </c:pt>
              </c:strCache>
            </c:strRef>
          </c:cat>
          <c:val>
            <c:numRef>
              <c:f>'Budget VS Actual Dashboard'!$K$10:$K$12</c:f>
              <c:numCache>
                <c:formatCode>[$₹-439]#,##0.00;[$₹-439]\(#,##0.00\);\-</c:formatCode>
                <c:ptCount val="3"/>
                <c:pt idx="0">
                  <c:v>2237.6864505600001</c:v>
                </c:pt>
                <c:pt idx="1">
                  <c:v>588.25777823999999</c:v>
                </c:pt>
                <c:pt idx="2">
                  <c:v>1620.5925067200003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9D-0C4C-A529-4B1FA722DFAE}"/>
            </c:ext>
          </c:extLst>
        </c:ser>
        <c:ser>
          <c:idx val="1"/>
          <c:order val="1"/>
          <c:tx>
            <c:strRef>
              <c:f>"Actual"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DA1F28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'Budget VS Actual Dashboard'!$J$10:$J$12</c:f>
              <c:strCache>
                <c:ptCount val="3"/>
                <c:pt idx="0">
                  <c:v>COGS</c:v>
                </c:pt>
                <c:pt idx="1">
                  <c:v>Employee Cost</c:v>
                </c:pt>
                <c:pt idx="2">
                  <c:v>Other Operating Expenses</c:v>
                </c:pt>
              </c:strCache>
            </c:strRef>
          </c:cat>
          <c:val>
            <c:numRef>
              <c:f>'Budget VS Actual Dashboard'!$L$10:$L$12</c:f>
              <c:numCache>
                <c:formatCode>[$₹-439]#,##0.00;[$₹-439]\(#,##0.00\);\-</c:formatCode>
                <c:ptCount val="3"/>
                <c:pt idx="0">
                  <c:v>2395.8247500000002</c:v>
                </c:pt>
                <c:pt idx="1">
                  <c:v>638.88660000000004</c:v>
                </c:pt>
                <c:pt idx="2">
                  <c:v>1805.3386500000001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9D-0C4C-A529-4B1FA722D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136902"/>
        <c:axId val="142283"/>
      </c:barChart>
      <c:catAx>
        <c:axId val="6713690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2283"/>
        <c:crosses val="autoZero"/>
        <c:auto val="1"/>
        <c:lblAlgn val="ctr"/>
        <c:lblOffset val="100"/>
        <c:noMultiLvlLbl val="0"/>
      </c:catAx>
      <c:valAx>
        <c:axId val="142283"/>
        <c:scaling>
          <c:orientation val="minMax"/>
        </c:scaling>
        <c:delete val="0"/>
        <c:axPos val="l"/>
        <c:majorGridlines>
          <c:spPr>
            <a:ln w="1260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Rs Crore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13690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EBITDA Margin % - Actual vs Budget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"Budget Margin %"</c:f>
              <c:strCache>
                <c:ptCount val="1"/>
                <c:pt idx="0">
                  <c:v>Budget Margin %</c:v>
                </c:pt>
              </c:strCache>
            </c:strRef>
          </c:tx>
          <c:spPr>
            <a:ln w="19080">
              <a:solidFill>
                <a:srgbClr val="A6A6A6"/>
              </a:solidFill>
              <a:round/>
            </a:ln>
          </c:spPr>
          <c:marker>
            <c:symbol val="circle"/>
            <c:size val="6"/>
            <c:spPr>
              <a:solidFill>
                <a:srgbClr val="A6A6A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'Budget VS Actual Dashboard'!$B$59:$B$61</c:f>
              <c:numCache>
                <c:formatCode>[$-409]mmm\-yy</c:formatCode>
                <c:ptCount val="3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</c:numCache>
            </c:numRef>
          </c:cat>
          <c:val>
            <c:numRef>
              <c:f>'Budget VS Actual Dashboard'!$C$59:$C$61</c:f>
              <c:numCache>
                <c:formatCode>0.00%</c:formatCode>
                <c:ptCount val="3"/>
                <c:pt idx="0">
                  <c:v>0.22900000000000004</c:v>
                </c:pt>
                <c:pt idx="1">
                  <c:v>0.22899999999999987</c:v>
                </c:pt>
                <c:pt idx="2">
                  <c:v>0.22900000000000001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204-3C48-9D9E-06B954D90513}"/>
            </c:ext>
          </c:extLst>
        </c:ser>
        <c:ser>
          <c:idx val="1"/>
          <c:order val="1"/>
          <c:tx>
            <c:strRef>
              <c:f>"Actual Margin %"</c:f>
              <c:strCache>
                <c:ptCount val="1"/>
                <c:pt idx="0">
                  <c:v>Actual Margin %</c:v>
                </c:pt>
              </c:strCache>
            </c:strRef>
          </c:tx>
          <c:spPr>
            <a:ln w="19080">
              <a:solidFill>
                <a:srgbClr val="39639D"/>
              </a:solidFill>
              <a:round/>
            </a:ln>
          </c:spPr>
          <c:marker>
            <c:symbol val="circle"/>
            <c:size val="6"/>
            <c:spPr>
              <a:solidFill>
                <a:srgbClr val="39639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'Budget VS Actual Dashboard'!$B$59:$B$61</c:f>
              <c:numCache>
                <c:formatCode>[$-409]mmm\-yy</c:formatCode>
                <c:ptCount val="3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</c:numCache>
            </c:numRef>
          </c:cat>
          <c:val>
            <c:numRef>
              <c:f>'Budget VS Actual Dashboard'!$D$59:$D$61</c:f>
              <c:numCache>
                <c:formatCode>0.00%</c:formatCode>
                <c:ptCount val="3"/>
                <c:pt idx="0">
                  <c:v>0.24115500032924755</c:v>
                </c:pt>
                <c:pt idx="1">
                  <c:v>0.24115500032924755</c:v>
                </c:pt>
                <c:pt idx="2">
                  <c:v>0.24115500032924758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204-3C48-9D9E-06B954D90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0350684"/>
        <c:axId val="95371280"/>
      </c:lineChart>
      <c:dateAx>
        <c:axId val="20350684"/>
        <c:scaling>
          <c:orientation val="minMax"/>
        </c:scaling>
        <c:delete val="0"/>
        <c:axPos val="b"/>
        <c:numFmt formatCode="[$-409]mmm\-yy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371280"/>
        <c:crosses val="autoZero"/>
        <c:auto val="1"/>
        <c:lblOffset val="100"/>
        <c:baseTimeUnit val="months"/>
      </c:dateAx>
      <c:valAx>
        <c:axId val="95371280"/>
        <c:scaling>
          <c:orientation val="minMax"/>
        </c:scaling>
        <c:delete val="0"/>
        <c:axPos val="l"/>
        <c:majorGridlines>
          <c:spPr>
            <a:ln w="1260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EBITDA Margin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3506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PAT: Actual vs Budget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"Budget"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A6A6A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'Budget VS Actual Dashboard'!$J$59:$J$61</c:f>
              <c:numCache>
                <c:formatCode>[$-409]mmm\-yy</c:formatCode>
                <c:ptCount val="3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</c:numCache>
            </c:numRef>
          </c:cat>
          <c:val>
            <c:numRef>
              <c:f>'Budget VS Actual Dashboard'!$K$59:$K$61</c:f>
              <c:numCache>
                <c:formatCode>[$₹-439]#,##0.00;[$₹-439]\(#,##0.00\);\-</c:formatCode>
                <c:ptCount val="3"/>
                <c:pt idx="0">
                  <c:v>340.9486870579201</c:v>
                </c:pt>
                <c:pt idx="1">
                  <c:v>257.61720466943984</c:v>
                </c:pt>
                <c:pt idx="2">
                  <c:v>272.74154360832006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C-3F42-AC99-7E98EE94C642}"/>
            </c:ext>
          </c:extLst>
        </c:ser>
        <c:ser>
          <c:idx val="1"/>
          <c:order val="1"/>
          <c:tx>
            <c:strRef>
              <c:f>"Actual"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2DA2B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'Budget VS Actual Dashboard'!$J$59:$J$61</c:f>
              <c:numCache>
                <c:formatCode>[$-409]mmm\-yy</c:formatCode>
                <c:ptCount val="3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</c:numCache>
            </c:numRef>
          </c:cat>
          <c:val>
            <c:numRef>
              <c:f>'Budget VS Actual Dashboard'!$L$59:$L$61</c:f>
              <c:numCache>
                <c:formatCode>[$₹-439]#,##0.00;[$₹-439]\(#,##0.00\);\-</c:formatCode>
                <c:ptCount val="3"/>
                <c:pt idx="0">
                  <c:v>302.2872000000001</c:v>
                </c:pt>
                <c:pt idx="1">
                  <c:v>321.78960000000012</c:v>
                </c:pt>
                <c:pt idx="2">
                  <c:v>351.04320000000018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C-3F42-AC99-7E98EE94C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97336"/>
        <c:axId val="70777931"/>
      </c:barChart>
      <c:dateAx>
        <c:axId val="10197336"/>
        <c:scaling>
          <c:orientation val="minMax"/>
        </c:scaling>
        <c:delete val="0"/>
        <c:axPos val="b"/>
        <c:numFmt formatCode="[$-409]mmm\-yy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777931"/>
        <c:crosses val="autoZero"/>
        <c:auto val="1"/>
        <c:lblOffset val="100"/>
        <c:baseTimeUnit val="months"/>
      </c:dateAx>
      <c:valAx>
        <c:axId val="70777931"/>
        <c:scaling>
          <c:orientation val="minMax"/>
        </c:scaling>
        <c:delete val="0"/>
        <c:axPos val="l"/>
        <c:majorGridlines>
          <c:spPr>
            <a:ln w="1260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Rs Crore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19733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Revenue: Forecast vs Budget by Month (FY Jul26-Jun27)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"Forecast"</c:f>
              <c:strCache>
                <c:ptCount val="1"/>
                <c:pt idx="0">
                  <c:v>Forecast</c:v>
                </c:pt>
              </c:strCache>
            </c:strRef>
          </c:tx>
          <c:spPr>
            <a:solidFill>
              <a:srgbClr val="EB641B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'Budget VS Forecast Dashboard'!$B$10:$B$21</c:f>
              <c:numCache>
                <c:formatCode>[$-409]mmm\-yy</c:formatCode>
                <c:ptCount val="12"/>
                <c:pt idx="0">
                  <c:v>46204</c:v>
                </c:pt>
                <c:pt idx="1">
                  <c:v>46235</c:v>
                </c:pt>
                <c:pt idx="2">
                  <c:v>46266</c:v>
                </c:pt>
                <c:pt idx="3">
                  <c:v>46296</c:v>
                </c:pt>
                <c:pt idx="4">
                  <c:v>46327</c:v>
                </c:pt>
                <c:pt idx="5">
                  <c:v>46357</c:v>
                </c:pt>
                <c:pt idx="6">
                  <c:v>46388</c:v>
                </c:pt>
                <c:pt idx="7">
                  <c:v>46419</c:v>
                </c:pt>
                <c:pt idx="8">
                  <c:v>46447</c:v>
                </c:pt>
                <c:pt idx="9">
                  <c:v>46478</c:v>
                </c:pt>
                <c:pt idx="10">
                  <c:v>46508</c:v>
                </c:pt>
                <c:pt idx="11">
                  <c:v>46539</c:v>
                </c:pt>
              </c:numCache>
            </c:numRef>
          </c:cat>
          <c:val>
            <c:numRef>
              <c:f>'Budget VS Forecast Dashboard'!$C$10:$C$21</c:f>
              <c:numCache>
                <c:formatCode>[$₹-439]#,##0.00;[$₹-439]\(#,##0.00\);\-</c:formatCode>
                <c:ptCount val="12"/>
                <c:pt idx="0">
                  <c:v>2054.7717120000002</c:v>
                </c:pt>
                <c:pt idx="1">
                  <c:v>1959.4613920000002</c:v>
                </c:pt>
                <c:pt idx="2">
                  <c:v>2085.8782560000004</c:v>
                </c:pt>
                <c:pt idx="3">
                  <c:v>2275.5035520000001</c:v>
                </c:pt>
                <c:pt idx="4">
                  <c:v>1967.5962880000002</c:v>
                </c:pt>
                <c:pt idx="5">
                  <c:v>2094.5379840000001</c:v>
                </c:pt>
                <c:pt idx="6">
                  <c:v>2284.9505280000003</c:v>
                </c:pt>
                <c:pt idx="7">
                  <c:v>2342.832688</c:v>
                </c:pt>
                <c:pt idx="8">
                  <c:v>2493.9831840000002</c:v>
                </c:pt>
                <c:pt idx="9">
                  <c:v>2720.7089280000005</c:v>
                </c:pt>
                <c:pt idx="10">
                  <c:v>2214.5040960000006</c:v>
                </c:pt>
                <c:pt idx="11">
                  <c:v>2357.3753280000005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D9-E94B-815B-698E500D57C9}"/>
            </c:ext>
          </c:extLst>
        </c:ser>
        <c:ser>
          <c:idx val="1"/>
          <c:order val="1"/>
          <c:tx>
            <c:strRef>
              <c:f>"Budget"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A6A6A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'Budget VS Forecast Dashboard'!$B$10:$B$21</c:f>
              <c:numCache>
                <c:formatCode>[$-409]mmm\-yy</c:formatCode>
                <c:ptCount val="12"/>
                <c:pt idx="0">
                  <c:v>46204</c:v>
                </c:pt>
                <c:pt idx="1">
                  <c:v>46235</c:v>
                </c:pt>
                <c:pt idx="2">
                  <c:v>46266</c:v>
                </c:pt>
                <c:pt idx="3">
                  <c:v>46296</c:v>
                </c:pt>
                <c:pt idx="4">
                  <c:v>46327</c:v>
                </c:pt>
                <c:pt idx="5">
                  <c:v>46357</c:v>
                </c:pt>
                <c:pt idx="6">
                  <c:v>46388</c:v>
                </c:pt>
                <c:pt idx="7">
                  <c:v>46419</c:v>
                </c:pt>
                <c:pt idx="8">
                  <c:v>46447</c:v>
                </c:pt>
                <c:pt idx="9">
                  <c:v>46478</c:v>
                </c:pt>
                <c:pt idx="10">
                  <c:v>46508</c:v>
                </c:pt>
                <c:pt idx="11">
                  <c:v>46539</c:v>
                </c:pt>
              </c:numCache>
            </c:numRef>
          </c:cat>
          <c:val>
            <c:numRef>
              <c:f>'Budget VS Forecast Dashboard'!$D$10:$D$21</c:f>
              <c:numCache>
                <c:formatCode>[$₹-439]#,##0.00;[$₹-439]\(#,##0.00\);\-</c:formatCode>
                <c:ptCount val="12"/>
                <c:pt idx="0">
                  <c:v>2018.07936</c:v>
                </c:pt>
                <c:pt idx="1">
                  <c:v>1924.4710100000002</c:v>
                </c:pt>
                <c:pt idx="2">
                  <c:v>2048.6304300000002</c:v>
                </c:pt>
                <c:pt idx="3">
                  <c:v>2234.8695600000001</c:v>
                </c:pt>
                <c:pt idx="4">
                  <c:v>1932.4606400000002</c:v>
                </c:pt>
                <c:pt idx="5">
                  <c:v>2057.1355200000003</c:v>
                </c:pt>
                <c:pt idx="6">
                  <c:v>2244.1478400000001</c:v>
                </c:pt>
                <c:pt idx="7">
                  <c:v>2300.9963900000002</c:v>
                </c:pt>
                <c:pt idx="8">
                  <c:v>2449.4477700000002</c:v>
                </c:pt>
                <c:pt idx="9">
                  <c:v>2672.1248400000004</c:v>
                </c:pt>
                <c:pt idx="10">
                  <c:v>2174.9593800000002</c:v>
                </c:pt>
                <c:pt idx="11">
                  <c:v>2315.2793400000005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D9-E94B-815B-698E500D5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224940"/>
        <c:axId val="17100136"/>
      </c:barChart>
      <c:dateAx>
        <c:axId val="58224940"/>
        <c:scaling>
          <c:orientation val="minMax"/>
        </c:scaling>
        <c:delete val="0"/>
        <c:axPos val="b"/>
        <c:numFmt formatCode="[$-409]mmm\-yy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100136"/>
        <c:crosses val="autoZero"/>
        <c:auto val="1"/>
        <c:lblOffset val="100"/>
        <c:baseTimeUnit val="months"/>
      </c:dateAx>
      <c:valAx>
        <c:axId val="17100136"/>
        <c:scaling>
          <c:orientation val="minMax"/>
        </c:scaling>
        <c:delete val="0"/>
        <c:axPos val="l"/>
        <c:majorGridlines>
          <c:spPr>
            <a:ln w="1260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Rs Crore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22494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EBITDA Bridge - FY Jul26-Jun27 Budget to Forecast (Rs Crore)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"Base"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4285F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'Budget VS Forecast Dashboard'!$B$28:$B$33</c:f>
              <c:strCache>
                <c:ptCount val="6"/>
                <c:pt idx="0">
                  <c:v>FY Budget EBITDA</c:v>
                </c:pt>
                <c:pt idx="1">
                  <c:v>Revenue Variance</c:v>
                </c:pt>
                <c:pt idx="2">
                  <c:v>COGS Impact</c:v>
                </c:pt>
                <c:pt idx="3">
                  <c:v>Employee Cost Impact</c:v>
                </c:pt>
                <c:pt idx="4">
                  <c:v>Other Opex Impact</c:v>
                </c:pt>
                <c:pt idx="5">
                  <c:v>FY Forecast EBITDA</c:v>
                </c:pt>
              </c:strCache>
            </c:strRef>
          </c:cat>
          <c:val>
            <c:numRef>
              <c:f>'Budget VS Forecast Dashboard'!$F$28:$F$33</c:f>
              <c:numCache>
                <c:formatCode>[$₹-439]#,##0.00;[$₹-439]\(#,##0.00\);\-</c:formatCode>
                <c:ptCount val="6"/>
                <c:pt idx="0">
                  <c:v>0</c:v>
                </c:pt>
                <c:pt idx="1">
                  <c:v>6039.325876320001</c:v>
                </c:pt>
                <c:pt idx="2">
                  <c:v>6144.816284640001</c:v>
                </c:pt>
                <c:pt idx="3">
                  <c:v>6144.816284640001</c:v>
                </c:pt>
                <c:pt idx="4">
                  <c:v>5907.4628659200034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5E-8549-9AD6-BE22258B3789}"/>
            </c:ext>
          </c:extLst>
        </c:ser>
        <c:ser>
          <c:idx val="1"/>
          <c:order val="1"/>
          <c:tx>
            <c:strRef>
              <c:f>"Increase"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rgbClr val="2DA2B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'Budget VS Forecast Dashboard'!$B$28:$B$33</c:f>
              <c:strCache>
                <c:ptCount val="6"/>
                <c:pt idx="0">
                  <c:v>FY Budget EBITDA</c:v>
                </c:pt>
                <c:pt idx="1">
                  <c:v>Revenue Variance</c:v>
                </c:pt>
                <c:pt idx="2">
                  <c:v>COGS Impact</c:v>
                </c:pt>
                <c:pt idx="3">
                  <c:v>Employee Cost Impact</c:v>
                </c:pt>
                <c:pt idx="4">
                  <c:v>Other Opex Impact</c:v>
                </c:pt>
                <c:pt idx="5">
                  <c:v>FY Forecast EBITDA</c:v>
                </c:pt>
              </c:strCache>
            </c:strRef>
          </c:cat>
          <c:val>
            <c:numRef>
              <c:f>'Budget VS Forecast Dashboard'!$G$28:$G$33</c:f>
              <c:numCache>
                <c:formatCode>[$₹-439]#,##0.00;[$₹-439]\(#,##0.00\);\-</c:formatCode>
                <c:ptCount val="6"/>
                <c:pt idx="0">
                  <c:v>0</c:v>
                </c:pt>
                <c:pt idx="1">
                  <c:v>479.50185600000259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5E-8549-9AD6-BE22258B3789}"/>
            </c:ext>
          </c:extLst>
        </c:ser>
        <c:ser>
          <c:idx val="2"/>
          <c:order val="2"/>
          <c:tx>
            <c:strRef>
              <c:f>"Decrease"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DA1F28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'Budget VS Forecast Dashboard'!$B$28:$B$33</c:f>
              <c:strCache>
                <c:ptCount val="6"/>
                <c:pt idx="0">
                  <c:v>FY Budget EBITDA</c:v>
                </c:pt>
                <c:pt idx="1">
                  <c:v>Revenue Variance</c:v>
                </c:pt>
                <c:pt idx="2">
                  <c:v>COGS Impact</c:v>
                </c:pt>
                <c:pt idx="3">
                  <c:v>Employee Cost Impact</c:v>
                </c:pt>
                <c:pt idx="4">
                  <c:v>Other Opex Impact</c:v>
                </c:pt>
                <c:pt idx="5">
                  <c:v>FY Forecast EBITDA</c:v>
                </c:pt>
              </c:strCache>
            </c:strRef>
          </c:cat>
          <c:val>
            <c:numRef>
              <c:f>'Budget VS Forecast Dashboard'!$H$28:$H$33</c:f>
              <c:numCache>
                <c:formatCode>[$₹-439]#,##0.00;[$₹-439]\(#,##0.00\);\-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374.01144768000268</c:v>
                </c:pt>
                <c:pt idx="3">
                  <c:v>0</c:v>
                </c:pt>
                <c:pt idx="4">
                  <c:v>242.14843727999778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5E-8549-9AD6-BE22258B3789}"/>
            </c:ext>
          </c:extLst>
        </c:ser>
        <c:ser>
          <c:idx val="3"/>
          <c:order val="3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B4A7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'Budget VS Forecast Dashboard'!$B$28:$B$33</c:f>
              <c:strCache>
                <c:ptCount val="6"/>
                <c:pt idx="0">
                  <c:v>FY Budget EBITDA</c:v>
                </c:pt>
                <c:pt idx="1">
                  <c:v>Revenue Variance</c:v>
                </c:pt>
                <c:pt idx="2">
                  <c:v>COGS Impact</c:v>
                </c:pt>
                <c:pt idx="3">
                  <c:v>Employee Cost Impact</c:v>
                </c:pt>
                <c:pt idx="4">
                  <c:v>Other Opex Impact</c:v>
                </c:pt>
                <c:pt idx="5">
                  <c:v>FY Forecast EBITDA</c:v>
                </c:pt>
              </c:strCache>
            </c:strRef>
          </c:cat>
          <c:val>
            <c:numRef>
              <c:f>'Budget VS Forecast Dashboard'!$I$28:$I$33</c:f>
              <c:numCache>
                <c:formatCode>[$₹-439]#,##0.00;[$₹-439]\(#,##0.00\);\-</c:formatCode>
                <c:ptCount val="6"/>
                <c:pt idx="0">
                  <c:v>6039.325876320001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5907.4628659200007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5E-8549-9AD6-BE22258B3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071741"/>
        <c:axId val="25877537"/>
      </c:barChart>
      <c:catAx>
        <c:axId val="510717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877537"/>
        <c:crosses val="autoZero"/>
        <c:auto val="1"/>
        <c:lblAlgn val="ctr"/>
        <c:lblOffset val="100"/>
        <c:noMultiLvlLbl val="0"/>
      </c:catAx>
      <c:valAx>
        <c:axId val="25877537"/>
        <c:scaling>
          <c:orientation val="minMax"/>
        </c:scaling>
        <c:delete val="0"/>
        <c:axPos val="l"/>
        <c:majorGridlines>
          <c:spPr>
            <a:ln w="1260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Rs Crore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0717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Cost Structure: Forecast vs Budget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"Budget"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A6A6A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'Budget VS Forecast Dashboard'!$B$49:$B$51</c:f>
              <c:strCache>
                <c:ptCount val="3"/>
                <c:pt idx="0">
                  <c:v>COGS</c:v>
                </c:pt>
                <c:pt idx="1">
                  <c:v>Employee Cost</c:v>
                </c:pt>
                <c:pt idx="2">
                  <c:v>Other Operating Expenses</c:v>
                </c:pt>
              </c:strCache>
            </c:strRef>
          </c:cat>
          <c:val>
            <c:numRef>
              <c:f>'Budget VS Forecast Dashboard'!$C$49:$C$51</c:f>
              <c:numCache>
                <c:formatCode>[$₹-439]#,##0.00;[$₹-439]\(#,##0.00\);\-</c:formatCode>
                <c:ptCount val="3"/>
                <c:pt idx="0">
                  <c:v>10232.569607039999</c:v>
                </c:pt>
                <c:pt idx="1">
                  <c:v>2690.0054121600006</c:v>
                </c:pt>
                <c:pt idx="2">
                  <c:v>7410.7011844800027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90-5847-B680-2CAC07C67374}"/>
            </c:ext>
          </c:extLst>
        </c:ser>
        <c:ser>
          <c:idx val="1"/>
          <c:order val="1"/>
          <c:tx>
            <c:strRef>
              <c:f>"Forecast"</c:f>
              <c:strCache>
                <c:ptCount val="1"/>
                <c:pt idx="0">
                  <c:v>Forecast</c:v>
                </c:pt>
              </c:strCache>
            </c:strRef>
          </c:tx>
          <c:spPr>
            <a:solidFill>
              <a:srgbClr val="EB641B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'Budget VS Forecast Dashboard'!$B$49:$B$51</c:f>
              <c:strCache>
                <c:ptCount val="3"/>
                <c:pt idx="0">
                  <c:v>COGS</c:v>
                </c:pt>
                <c:pt idx="1">
                  <c:v>Employee Cost</c:v>
                </c:pt>
                <c:pt idx="2">
                  <c:v>Other Operating Expenses</c:v>
                </c:pt>
              </c:strCache>
            </c:strRef>
          </c:cat>
          <c:val>
            <c:numRef>
              <c:f>'Budget VS Forecast Dashboard'!$D$49:$D$51</c:f>
              <c:numCache>
                <c:formatCode>[$₹-439]#,##0.00;[$₹-439]\(#,##0.00\);\-</c:formatCode>
                <c:ptCount val="3"/>
                <c:pt idx="0">
                  <c:v>10606.581054720002</c:v>
                </c:pt>
                <c:pt idx="1">
                  <c:v>2685.2103936000003</c:v>
                </c:pt>
                <c:pt idx="2">
                  <c:v>7652.8496217600004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90-5847-B680-2CAC07C67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864436"/>
        <c:axId val="20386135"/>
      </c:barChart>
      <c:catAx>
        <c:axId val="248644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386135"/>
        <c:crosses val="autoZero"/>
        <c:auto val="1"/>
        <c:lblAlgn val="ctr"/>
        <c:lblOffset val="100"/>
        <c:noMultiLvlLbl val="0"/>
      </c:catAx>
      <c:valAx>
        <c:axId val="20386135"/>
        <c:scaling>
          <c:orientation val="minMax"/>
        </c:scaling>
        <c:delete val="0"/>
        <c:axPos val="l"/>
        <c:majorGridlines>
          <c:spPr>
            <a:ln w="1260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Rs Crore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86443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EBITDA Margin % - Forecast vs Budget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"Budget Margin %"</c:f>
              <c:strCache>
                <c:ptCount val="1"/>
                <c:pt idx="0">
                  <c:v>Budget Margin %</c:v>
                </c:pt>
              </c:strCache>
            </c:strRef>
          </c:tx>
          <c:spPr>
            <a:ln w="19080">
              <a:solidFill>
                <a:srgbClr val="A6A6A6"/>
              </a:solidFill>
              <a:round/>
            </a:ln>
          </c:spPr>
          <c:marker>
            <c:symbol val="circle"/>
            <c:size val="6"/>
            <c:spPr>
              <a:solidFill>
                <a:srgbClr val="A6A6A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'Budget VS Forecast Dashboard'!$B$69:$B$80</c:f>
              <c:numCache>
                <c:formatCode>[$-409]mmm\-yy</c:formatCode>
                <c:ptCount val="12"/>
                <c:pt idx="0">
                  <c:v>46204</c:v>
                </c:pt>
                <c:pt idx="1">
                  <c:v>46235</c:v>
                </c:pt>
                <c:pt idx="2">
                  <c:v>46266</c:v>
                </c:pt>
                <c:pt idx="3">
                  <c:v>46296</c:v>
                </c:pt>
                <c:pt idx="4">
                  <c:v>46327</c:v>
                </c:pt>
                <c:pt idx="5">
                  <c:v>46357</c:v>
                </c:pt>
                <c:pt idx="6">
                  <c:v>46388</c:v>
                </c:pt>
                <c:pt idx="7">
                  <c:v>46419</c:v>
                </c:pt>
                <c:pt idx="8">
                  <c:v>46447</c:v>
                </c:pt>
                <c:pt idx="9">
                  <c:v>46478</c:v>
                </c:pt>
                <c:pt idx="10">
                  <c:v>46508</c:v>
                </c:pt>
                <c:pt idx="11">
                  <c:v>46539</c:v>
                </c:pt>
              </c:numCache>
            </c:numRef>
          </c:cat>
          <c:val>
            <c:numRef>
              <c:f>'Budget VS Forecast Dashboard'!$C$69:$C$80</c:f>
              <c:numCache>
                <c:formatCode>0.00%</c:formatCode>
                <c:ptCount val="12"/>
                <c:pt idx="0">
                  <c:v>0.22899999999999995</c:v>
                </c:pt>
                <c:pt idx="1">
                  <c:v>0.22900000000000001</c:v>
                </c:pt>
                <c:pt idx="2">
                  <c:v>0.22899999999999998</c:v>
                </c:pt>
                <c:pt idx="3">
                  <c:v>0.22899999999999993</c:v>
                </c:pt>
                <c:pt idx="4">
                  <c:v>0.22899999999999998</c:v>
                </c:pt>
                <c:pt idx="5">
                  <c:v>0.22899999999999998</c:v>
                </c:pt>
                <c:pt idx="6">
                  <c:v>0.22900000000000006</c:v>
                </c:pt>
                <c:pt idx="7">
                  <c:v>0.22900000000000004</c:v>
                </c:pt>
                <c:pt idx="8">
                  <c:v>0.22900000000000001</c:v>
                </c:pt>
                <c:pt idx="9">
                  <c:v>0.22899999999999993</c:v>
                </c:pt>
                <c:pt idx="10">
                  <c:v>0.22899999999999993</c:v>
                </c:pt>
                <c:pt idx="11">
                  <c:v>0.22900000000000001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4D3-6A4E-9499-47509C087C49}"/>
            </c:ext>
          </c:extLst>
        </c:ser>
        <c:ser>
          <c:idx val="1"/>
          <c:order val="1"/>
          <c:tx>
            <c:strRef>
              <c:f>"Forecast Margin %"</c:f>
              <c:strCache>
                <c:ptCount val="1"/>
                <c:pt idx="0">
                  <c:v>Forecast Margin %</c:v>
                </c:pt>
              </c:strCache>
            </c:strRef>
          </c:tx>
          <c:spPr>
            <a:ln w="19080">
              <a:solidFill>
                <a:srgbClr val="EB641B"/>
              </a:solidFill>
              <a:round/>
            </a:ln>
          </c:spPr>
          <c:marker>
            <c:symbol val="circle"/>
            <c:size val="6"/>
            <c:spPr>
              <a:solidFill>
                <a:srgbClr val="EB641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'Budget VS Forecast Dashboard'!$B$69:$B$80</c:f>
              <c:numCache>
                <c:formatCode>[$-409]mmm\-yy</c:formatCode>
                <c:ptCount val="12"/>
                <c:pt idx="0">
                  <c:v>46204</c:v>
                </c:pt>
                <c:pt idx="1">
                  <c:v>46235</c:v>
                </c:pt>
                <c:pt idx="2">
                  <c:v>46266</c:v>
                </c:pt>
                <c:pt idx="3">
                  <c:v>46296</c:v>
                </c:pt>
                <c:pt idx="4">
                  <c:v>46327</c:v>
                </c:pt>
                <c:pt idx="5">
                  <c:v>46357</c:v>
                </c:pt>
                <c:pt idx="6">
                  <c:v>46388</c:v>
                </c:pt>
                <c:pt idx="7">
                  <c:v>46419</c:v>
                </c:pt>
                <c:pt idx="8">
                  <c:v>46447</c:v>
                </c:pt>
                <c:pt idx="9">
                  <c:v>46478</c:v>
                </c:pt>
                <c:pt idx="10">
                  <c:v>46508</c:v>
                </c:pt>
                <c:pt idx="11">
                  <c:v>46539</c:v>
                </c:pt>
              </c:numCache>
            </c:numRef>
          </c:cat>
          <c:val>
            <c:numRef>
              <c:f>'Budget VS Forecast Dashboard'!$D$69:$D$80</c:f>
              <c:numCache>
                <c:formatCode>0.00%</c:formatCode>
                <c:ptCount val="12"/>
                <c:pt idx="0">
                  <c:v>0.21999999999999992</c:v>
                </c:pt>
                <c:pt idx="1">
                  <c:v>0.21999999999999995</c:v>
                </c:pt>
                <c:pt idx="2">
                  <c:v>0.22000000000000006</c:v>
                </c:pt>
                <c:pt idx="3">
                  <c:v>0.22000000000000008</c:v>
                </c:pt>
                <c:pt idx="4">
                  <c:v>0.22</c:v>
                </c:pt>
                <c:pt idx="5">
                  <c:v>0.22000000000000008</c:v>
                </c:pt>
                <c:pt idx="6">
                  <c:v>0.22000000000000003</c:v>
                </c:pt>
                <c:pt idx="7">
                  <c:v>0.22000000000000006</c:v>
                </c:pt>
                <c:pt idx="8">
                  <c:v>0.22</c:v>
                </c:pt>
                <c:pt idx="9">
                  <c:v>0.21999999999999989</c:v>
                </c:pt>
                <c:pt idx="10">
                  <c:v>0.22000000000000006</c:v>
                </c:pt>
                <c:pt idx="11">
                  <c:v>0.22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4D3-6A4E-9499-47509C087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8883489"/>
        <c:axId val="16877966"/>
      </c:lineChart>
      <c:dateAx>
        <c:axId val="18883489"/>
        <c:scaling>
          <c:orientation val="minMax"/>
        </c:scaling>
        <c:delete val="0"/>
        <c:axPos val="b"/>
        <c:numFmt formatCode="[$-409]mmm\-yy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877966"/>
        <c:crosses val="autoZero"/>
        <c:auto val="1"/>
        <c:lblOffset val="100"/>
        <c:baseTimeUnit val="months"/>
      </c:dateAx>
      <c:valAx>
        <c:axId val="16877966"/>
        <c:scaling>
          <c:orientation val="minMax"/>
        </c:scaling>
        <c:delete val="0"/>
        <c:axPos val="l"/>
        <c:majorGridlines>
          <c:spPr>
            <a:ln w="1260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EBITDA Margin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8834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PAT: Forecast vs Budget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"Budget"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A6A6A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'Budget VS Forecast Dashboard'!$B$88:$B$99</c:f>
              <c:numCache>
                <c:formatCode>[$-409]mmm\-yy</c:formatCode>
                <c:ptCount val="12"/>
                <c:pt idx="0">
                  <c:v>46204</c:v>
                </c:pt>
                <c:pt idx="1">
                  <c:v>46235</c:v>
                </c:pt>
                <c:pt idx="2">
                  <c:v>46266</c:v>
                </c:pt>
                <c:pt idx="3">
                  <c:v>46296</c:v>
                </c:pt>
                <c:pt idx="4">
                  <c:v>46327</c:v>
                </c:pt>
                <c:pt idx="5">
                  <c:v>46357</c:v>
                </c:pt>
                <c:pt idx="6">
                  <c:v>46388</c:v>
                </c:pt>
                <c:pt idx="7">
                  <c:v>46419</c:v>
                </c:pt>
                <c:pt idx="8">
                  <c:v>46447</c:v>
                </c:pt>
                <c:pt idx="9">
                  <c:v>46478</c:v>
                </c:pt>
                <c:pt idx="10">
                  <c:v>46508</c:v>
                </c:pt>
                <c:pt idx="11">
                  <c:v>46539</c:v>
                </c:pt>
              </c:numCache>
            </c:numRef>
          </c:cat>
          <c:val>
            <c:numRef>
              <c:f>'Budget VS Forecast Dashboard'!$C$88:$C$99</c:f>
              <c:numCache>
                <c:formatCode>[$₹-439]#,##0.00;[$₹-439]\(#,##0.00\);\-</c:formatCode>
                <c:ptCount val="12"/>
                <c:pt idx="0">
                  <c:v>310.1849493350399</c:v>
                </c:pt>
                <c:pt idx="1">
                  <c:v>289.71824897664004</c:v>
                </c:pt>
                <c:pt idx="2">
                  <c:v>306.86973869951998</c:v>
                </c:pt>
                <c:pt idx="3">
                  <c:v>351.13527588863985</c:v>
                </c:pt>
                <c:pt idx="4">
                  <c:v>293.01637787136002</c:v>
                </c:pt>
                <c:pt idx="5">
                  <c:v>310.42955870208004</c:v>
                </c:pt>
                <c:pt idx="6">
                  <c:v>342.71861692416013</c:v>
                </c:pt>
                <c:pt idx="7">
                  <c:v>348.92518674816006</c:v>
                </c:pt>
                <c:pt idx="8">
                  <c:v>369.66176765568002</c:v>
                </c:pt>
                <c:pt idx="9">
                  <c:v>423.13439448575986</c:v>
                </c:pt>
                <c:pt idx="10">
                  <c:v>329.33397733631989</c:v>
                </c:pt>
                <c:pt idx="11">
                  <c:v>348.89118149376009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5F-0842-9078-367A7E60E88C}"/>
            </c:ext>
          </c:extLst>
        </c:ser>
        <c:ser>
          <c:idx val="1"/>
          <c:order val="1"/>
          <c:tx>
            <c:strRef>
              <c:f>"Forecast"</c:f>
              <c:strCache>
                <c:ptCount val="1"/>
                <c:pt idx="0">
                  <c:v>Forecast</c:v>
                </c:pt>
              </c:strCache>
            </c:strRef>
          </c:tx>
          <c:spPr>
            <a:solidFill>
              <a:srgbClr val="EB641B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'Budget VS Forecast Dashboard'!$B$88:$B$99</c:f>
              <c:numCache>
                <c:formatCode>[$-409]mmm\-yy</c:formatCode>
                <c:ptCount val="12"/>
                <c:pt idx="0">
                  <c:v>46204</c:v>
                </c:pt>
                <c:pt idx="1">
                  <c:v>46235</c:v>
                </c:pt>
                <c:pt idx="2">
                  <c:v>46266</c:v>
                </c:pt>
                <c:pt idx="3">
                  <c:v>46296</c:v>
                </c:pt>
                <c:pt idx="4">
                  <c:v>46327</c:v>
                </c:pt>
                <c:pt idx="5">
                  <c:v>46357</c:v>
                </c:pt>
                <c:pt idx="6">
                  <c:v>46388</c:v>
                </c:pt>
                <c:pt idx="7">
                  <c:v>46419</c:v>
                </c:pt>
                <c:pt idx="8">
                  <c:v>46447</c:v>
                </c:pt>
                <c:pt idx="9">
                  <c:v>46478</c:v>
                </c:pt>
                <c:pt idx="10">
                  <c:v>46508</c:v>
                </c:pt>
                <c:pt idx="11">
                  <c:v>46539</c:v>
                </c:pt>
              </c:numCache>
            </c:numRef>
          </c:cat>
          <c:val>
            <c:numRef>
              <c:f>'Budget VS Forecast Dashboard'!$D$88:$D$99</c:f>
              <c:numCache>
                <c:formatCode>[$₹-439]#,##0.00;[$₹-439]\(#,##0.00\);\-</c:formatCode>
                <c:ptCount val="12"/>
                <c:pt idx="0">
                  <c:v>295.05071765735994</c:v>
                </c:pt>
                <c:pt idx="1">
                  <c:v>285.52262533775996</c:v>
                </c:pt>
                <c:pt idx="2">
                  <c:v>303.94343987568016</c:v>
                </c:pt>
                <c:pt idx="3">
                  <c:v>331.57466168256013</c:v>
                </c:pt>
                <c:pt idx="4">
                  <c:v>288.70971814763999</c:v>
                </c:pt>
                <c:pt idx="5">
                  <c:v>307.33615157652014</c:v>
                </c:pt>
                <c:pt idx="6">
                  <c:v>335.27580171984016</c:v>
                </c:pt>
                <c:pt idx="7">
                  <c:v>343.78873764714012</c:v>
                </c:pt>
                <c:pt idx="8">
                  <c:v>365.96865620501995</c:v>
                </c:pt>
                <c:pt idx="9">
                  <c:v>399.23853404183984</c:v>
                </c:pt>
                <c:pt idx="10">
                  <c:v>324.4933370458802</c:v>
                </c:pt>
                <c:pt idx="11">
                  <c:v>345.42839104884013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5F-0842-9078-367A7E60E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19288"/>
        <c:axId val="17534183"/>
      </c:barChart>
      <c:dateAx>
        <c:axId val="16619288"/>
        <c:scaling>
          <c:orientation val="minMax"/>
        </c:scaling>
        <c:delete val="0"/>
        <c:axPos val="b"/>
        <c:numFmt formatCode="[$-409]mmm\-yy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534183"/>
        <c:crosses val="autoZero"/>
        <c:auto val="1"/>
        <c:lblOffset val="100"/>
        <c:baseTimeUnit val="months"/>
      </c:dateAx>
      <c:valAx>
        <c:axId val="17534183"/>
        <c:scaling>
          <c:orientation val="minMax"/>
        </c:scaling>
        <c:delete val="0"/>
        <c:axPos val="l"/>
        <c:majorGridlines>
          <c:spPr>
            <a:ln w="1260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Rs Crore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61928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Relationship Id="rId5" Type="http://schemas.openxmlformats.org/officeDocument/2006/relationships/chart" Target="../charts/chart5.xml" /><Relationship Id="rId4" Type="http://schemas.openxmlformats.org/officeDocument/2006/relationships/chart" Target="../charts/chart4.xml" 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 /><Relationship Id="rId2" Type="http://schemas.openxmlformats.org/officeDocument/2006/relationships/chart" Target="../charts/chart7.xml" /><Relationship Id="rId1" Type="http://schemas.openxmlformats.org/officeDocument/2006/relationships/chart" Target="../charts/chart6.xml" /><Relationship Id="rId5" Type="http://schemas.openxmlformats.org/officeDocument/2006/relationships/chart" Target="../charts/chart10.xml" /><Relationship Id="rId4" Type="http://schemas.openxmlformats.org/officeDocument/2006/relationships/chart" Target="../charts/chart9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114480</xdr:colOff>
      <xdr:row>12</xdr:row>
      <xdr:rowOff>9360</xdr:rowOff>
    </xdr:from>
    <xdr:to>
      <xdr:col>4</xdr:col>
      <xdr:colOff>977760</xdr:colOff>
      <xdr:row>27</xdr:row>
      <xdr:rowOff>114840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32</xdr:row>
      <xdr:rowOff>0</xdr:rowOff>
    </xdr:from>
    <xdr:to>
      <xdr:col>14</xdr:col>
      <xdr:colOff>356040</xdr:colOff>
      <xdr:row>50</xdr:row>
      <xdr:rowOff>86760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12</xdr:row>
      <xdr:rowOff>19080</xdr:rowOff>
    </xdr:from>
    <xdr:to>
      <xdr:col>14</xdr:col>
      <xdr:colOff>289080</xdr:colOff>
      <xdr:row>27</xdr:row>
      <xdr:rowOff>124560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123840</xdr:colOff>
      <xdr:row>61</xdr:row>
      <xdr:rowOff>9360</xdr:rowOff>
    </xdr:from>
    <xdr:to>
      <xdr:col>4</xdr:col>
      <xdr:colOff>929880</xdr:colOff>
      <xdr:row>76</xdr:row>
      <xdr:rowOff>96120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0</xdr:colOff>
      <xdr:row>60</xdr:row>
      <xdr:rowOff>181080</xdr:rowOff>
    </xdr:from>
    <xdr:to>
      <xdr:col>14</xdr:col>
      <xdr:colOff>375120</xdr:colOff>
      <xdr:row>76</xdr:row>
      <xdr:rowOff>105840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9360</xdr:colOff>
      <xdr:row>8</xdr:row>
      <xdr:rowOff>0</xdr:rowOff>
    </xdr:from>
    <xdr:to>
      <xdr:col>16</xdr:col>
      <xdr:colOff>142200</xdr:colOff>
      <xdr:row>21</xdr:row>
      <xdr:rowOff>115560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26</xdr:row>
      <xdr:rowOff>0</xdr:rowOff>
    </xdr:from>
    <xdr:to>
      <xdr:col>16</xdr:col>
      <xdr:colOff>476640</xdr:colOff>
      <xdr:row>41</xdr:row>
      <xdr:rowOff>20160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9360</xdr:colOff>
      <xdr:row>47</xdr:row>
      <xdr:rowOff>0</xdr:rowOff>
    </xdr:from>
    <xdr:to>
      <xdr:col>16</xdr:col>
      <xdr:colOff>30600</xdr:colOff>
      <xdr:row>62</xdr:row>
      <xdr:rowOff>10080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0</xdr:colOff>
      <xdr:row>67</xdr:row>
      <xdr:rowOff>0</xdr:rowOff>
    </xdr:from>
    <xdr:to>
      <xdr:col>15</xdr:col>
      <xdr:colOff>555840</xdr:colOff>
      <xdr:row>80</xdr:row>
      <xdr:rowOff>1080</xdr:rowOff>
    </xdr:to>
    <xdr:graphicFrame macro="">
      <xdr:nvGraphicFramePr>
        <xdr:cNvPr id="8" name="Chart 4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9360</xdr:colOff>
      <xdr:row>86</xdr:row>
      <xdr:rowOff>0</xdr:rowOff>
    </xdr:from>
    <xdr:to>
      <xdr:col>16</xdr:col>
      <xdr:colOff>20880</xdr:colOff>
      <xdr:row>98</xdr:row>
      <xdr:rowOff>191160</xdr:rowOff>
    </xdr:to>
    <xdr:graphicFrame macro="">
      <xdr:nvGraphicFramePr>
        <xdr:cNvPr id="9" name="Chart 5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Adjacency">
  <a:themeElements>
    <a:clrScheme name="Concourse">
      <a:dk1>
        <a:srgbClr val="000000"/>
      </a:dk1>
      <a:lt1>
        <a:srgbClr val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</a:schemeClr>
            </a:gs>
            <a:gs pos="100000">
              <a:schemeClr val="phClr">
                <a:shade val="70000"/>
              </a:schemeClr>
            </a:gs>
          </a:gsLst>
          <a:path path="circle">
            <a:fillToRect l="20000" t="50000" r="100000" b="50000"/>
          </a:path>
          <a:tileRect/>
        </a:gradFill>
        <a:blipFill rotWithShape="1">
          <a:srcRect/>
          <a:tile tx="0" ty="0" sx="32000" sy="32000" flip="none" algn="tl"/>
        </a:blip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S50"/>
  <sheetViews>
    <sheetView showGridLines="0" tabSelected="1" zoomScale="85" zoomScaleNormal="85" workbookViewId="0"/>
  </sheetViews>
  <sheetFormatPr defaultColWidth="8.578125" defaultRowHeight="13.5" x14ac:dyDescent="0.15"/>
  <cols>
    <col min="1" max="1" width="1.46875" style="15" customWidth="1"/>
    <col min="2" max="19" width="12.9921875" style="15" customWidth="1"/>
  </cols>
  <sheetData>
    <row r="2" spans="2:19" ht="15.75" customHeight="1" x14ac:dyDescent="0.15">
      <c r="B2" s="14" t="str">
        <f>"NESTLÉ INDIA — FP&amp;A ANALYSIS   |   "&amp;'Data Sheet'!B1&amp;"   |   Executive Summary"</f>
        <v>NESTLÉ INDIA — FP&amp;A ANALYSIS   |   NESTLE INDIA LTD   |   Executive Summary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2:19" ht="15.75" customHeight="1" x14ac:dyDescent="0.15"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5" spans="2:19" ht="15" customHeight="1" x14ac:dyDescent="0.15">
      <c r="B5" s="13" t="s">
        <v>0</v>
      </c>
      <c r="C5" s="13"/>
      <c r="D5" s="13"/>
      <c r="E5" s="13"/>
      <c r="F5" s="13"/>
      <c r="G5" s="13"/>
      <c r="H5" s="13"/>
      <c r="I5" s="13"/>
      <c r="J5" s="13" t="s">
        <v>1</v>
      </c>
      <c r="K5" s="13"/>
      <c r="L5" s="13"/>
      <c r="M5" s="13"/>
      <c r="N5" s="13"/>
      <c r="O5" s="13"/>
      <c r="P5" s="13"/>
      <c r="Q5" s="13"/>
      <c r="R5" s="13"/>
      <c r="S5" s="13"/>
    </row>
    <row r="6" spans="2:19" ht="25.5" customHeight="1" x14ac:dyDescent="0.15">
      <c r="B6" s="12" t="s">
        <v>2</v>
      </c>
      <c r="C6" s="12"/>
      <c r="D6" s="12"/>
      <c r="E6" s="12"/>
      <c r="F6" s="12"/>
      <c r="G6" s="12"/>
      <c r="H6" s="12"/>
      <c r="I6" s="12"/>
      <c r="J6" s="12" t="s">
        <v>3</v>
      </c>
      <c r="K6" s="12"/>
      <c r="L6" s="12"/>
      <c r="M6" s="12"/>
      <c r="N6" s="12"/>
      <c r="O6" s="12"/>
      <c r="P6" s="12"/>
      <c r="Q6" s="12"/>
      <c r="R6" s="12"/>
      <c r="S6" s="12"/>
    </row>
    <row r="7" spans="2:19" ht="25.5" customHeight="1" x14ac:dyDescent="0.15"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</row>
    <row r="8" spans="2:19" ht="25.5" customHeight="1" x14ac:dyDescent="0.15"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</row>
    <row r="9" spans="2:19" ht="25.5" customHeight="1" x14ac:dyDescent="0.15"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</row>
    <row r="11" spans="2:19" ht="15" customHeight="1" x14ac:dyDescent="0.15">
      <c r="B11" s="13" t="s">
        <v>4</v>
      </c>
      <c r="C11" s="13"/>
      <c r="D11" s="13"/>
      <c r="E11" s="13"/>
      <c r="F11" s="13"/>
      <c r="G11" s="13"/>
      <c r="H11" s="13"/>
      <c r="I11" s="13"/>
      <c r="J11" s="13" t="s">
        <v>5</v>
      </c>
      <c r="K11" s="13"/>
      <c r="L11" s="13"/>
      <c r="M11" s="13"/>
      <c r="N11" s="13"/>
      <c r="O11" s="13"/>
      <c r="P11" s="13"/>
      <c r="Q11" s="13"/>
      <c r="R11" s="13"/>
      <c r="S11" s="13"/>
    </row>
    <row r="12" spans="2:19" ht="15" customHeight="1" x14ac:dyDescent="0.15">
      <c r="B12" s="12" t="s">
        <v>6</v>
      </c>
      <c r="C12" s="12"/>
      <c r="D12" s="12"/>
      <c r="E12" s="12"/>
      <c r="F12" s="12"/>
      <c r="G12" s="12"/>
      <c r="H12" s="12"/>
      <c r="I12" s="12"/>
      <c r="J12" s="11" t="s">
        <v>7</v>
      </c>
      <c r="K12" s="11"/>
      <c r="L12" s="11"/>
      <c r="M12" s="11"/>
      <c r="N12" s="11"/>
      <c r="O12" s="11"/>
      <c r="P12" s="11"/>
      <c r="Q12" s="11"/>
      <c r="R12" s="11"/>
      <c r="S12" s="11"/>
    </row>
    <row r="13" spans="2:19" ht="15" customHeight="1" x14ac:dyDescent="0.15">
      <c r="B13" s="12"/>
      <c r="C13" s="12"/>
      <c r="D13" s="12"/>
      <c r="E13" s="12"/>
      <c r="F13" s="12"/>
      <c r="G13" s="12"/>
      <c r="H13" s="12"/>
      <c r="I13" s="12"/>
      <c r="J13" s="11"/>
      <c r="K13" s="11"/>
      <c r="L13" s="11"/>
      <c r="M13" s="11"/>
      <c r="N13" s="11"/>
      <c r="O13" s="11"/>
      <c r="P13" s="11"/>
      <c r="Q13" s="11"/>
      <c r="R13" s="11"/>
      <c r="S13" s="11"/>
    </row>
    <row r="14" spans="2:19" ht="15" customHeight="1" x14ac:dyDescent="0.15">
      <c r="B14" s="12"/>
      <c r="C14" s="12"/>
      <c r="D14" s="12"/>
      <c r="E14" s="12"/>
      <c r="F14" s="12"/>
      <c r="G14" s="12"/>
      <c r="H14" s="12"/>
      <c r="I14" s="12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2:19" ht="15" customHeight="1" x14ac:dyDescent="0.15">
      <c r="B15" s="12"/>
      <c r="C15" s="12"/>
      <c r="D15" s="12"/>
      <c r="E15" s="12"/>
      <c r="F15" s="12"/>
      <c r="G15" s="12"/>
      <c r="H15" s="12"/>
      <c r="I15" s="12"/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 spans="2:19" ht="15" customHeight="1" x14ac:dyDescent="0.15">
      <c r="B16" s="12"/>
      <c r="C16" s="12"/>
      <c r="D16" s="12"/>
      <c r="E16" s="12"/>
      <c r="F16" s="12"/>
      <c r="G16" s="12"/>
      <c r="H16" s="12"/>
      <c r="I16" s="12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7" spans="2:19" ht="15" customHeight="1" x14ac:dyDescent="0.15">
      <c r="B17" s="13" t="s">
        <v>8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</row>
    <row r="18" spans="2:19" ht="15" customHeight="1" x14ac:dyDescent="0.15">
      <c r="B18" s="16" t="s">
        <v>9</v>
      </c>
      <c r="G18" s="16" t="s">
        <v>10</v>
      </c>
      <c r="I18" s="16" t="s">
        <v>11</v>
      </c>
      <c r="K18" s="16" t="s">
        <v>12</v>
      </c>
      <c r="M18" s="16" t="s">
        <v>13</v>
      </c>
      <c r="P18" s="16" t="s">
        <v>14</v>
      </c>
    </row>
    <row r="19" spans="2:19" ht="15" customHeight="1" x14ac:dyDescent="0.15">
      <c r="B19" s="17" t="s">
        <v>15</v>
      </c>
      <c r="G19" s="18">
        <f>Assumptions!C11</f>
        <v>0.14617880995329058</v>
      </c>
      <c r="I19" s="18">
        <f>Assumptions!D11</f>
        <v>0.1</v>
      </c>
      <c r="K19" s="18">
        <f>Assumptions!E11</f>
        <v>0.12</v>
      </c>
      <c r="M19" s="19" t="s">
        <v>16</v>
      </c>
      <c r="P19" s="19" t="s">
        <v>17</v>
      </c>
    </row>
    <row r="20" spans="2:19" ht="15" customHeight="1" x14ac:dyDescent="0.15">
      <c r="B20" s="17" t="s">
        <v>18</v>
      </c>
      <c r="G20" s="18">
        <f>Assumptions!C15</f>
        <v>0.39361336408316272</v>
      </c>
      <c r="I20" s="18">
        <f>Assumptions!D15</f>
        <v>0.38800000000000001</v>
      </c>
      <c r="K20" s="18">
        <f>Assumptions!E15</f>
        <v>0.39500000000000002</v>
      </c>
      <c r="M20" s="19" t="s">
        <v>19</v>
      </c>
      <c r="P20" s="19" t="s">
        <v>20</v>
      </c>
    </row>
    <row r="21" spans="2:19" ht="15" customHeight="1" x14ac:dyDescent="0.15">
      <c r="B21" s="17" t="s">
        <v>21</v>
      </c>
      <c r="G21" s="18">
        <f>Assumptions!C16</f>
        <v>9.8399885983778607E-2</v>
      </c>
      <c r="I21" s="18">
        <f>Assumptions!D16</f>
        <v>0.10199999999999999</v>
      </c>
      <c r="K21" s="18">
        <f>Assumptions!E16</f>
        <v>0.1</v>
      </c>
      <c r="M21" s="19" t="s">
        <v>19</v>
      </c>
      <c r="P21" s="19" t="s">
        <v>20</v>
      </c>
    </row>
    <row r="22" spans="2:19" ht="15" customHeight="1" x14ac:dyDescent="0.15">
      <c r="B22" s="17" t="s">
        <v>22</v>
      </c>
      <c r="G22" s="18">
        <f>Assumptions!C17</f>
        <v>0.27878995966244291</v>
      </c>
      <c r="I22" s="18">
        <f>Assumptions!D17</f>
        <v>0.28100000000000003</v>
      </c>
      <c r="K22" s="18">
        <f>Assumptions!E17</f>
        <v>0.28499999999999998</v>
      </c>
      <c r="M22" s="19" t="s">
        <v>19</v>
      </c>
      <c r="P22" s="19" t="s">
        <v>20</v>
      </c>
    </row>
    <row r="23" spans="2:19" ht="15" customHeight="1" x14ac:dyDescent="0.15">
      <c r="B23" s="17" t="s">
        <v>23</v>
      </c>
      <c r="I23" s="18">
        <f>Assumptions!D22</f>
        <v>0.104</v>
      </c>
      <c r="K23" s="18">
        <f>Assumptions!E22</f>
        <v>0.105</v>
      </c>
      <c r="M23" s="19" t="s">
        <v>24</v>
      </c>
      <c r="P23" s="19" t="s">
        <v>25</v>
      </c>
    </row>
    <row r="24" spans="2:19" ht="15" customHeight="1" x14ac:dyDescent="0.15">
      <c r="B24" s="17" t="s">
        <v>26</v>
      </c>
      <c r="I24" s="18">
        <f>Assumptions!D23</f>
        <v>7.4999999999999997E-2</v>
      </c>
      <c r="K24" s="18">
        <f>Assumptions!E23</f>
        <v>8.5000000000000006E-2</v>
      </c>
      <c r="M24" s="19" t="s">
        <v>24</v>
      </c>
      <c r="P24" s="19" t="s">
        <v>25</v>
      </c>
    </row>
    <row r="25" spans="2:19" ht="15" customHeight="1" x14ac:dyDescent="0.15">
      <c r="B25" s="17" t="s">
        <v>27</v>
      </c>
      <c r="G25" s="18">
        <f>Assumptions!C25</f>
        <v>0.23104791036195807</v>
      </c>
      <c r="I25" s="18">
        <f>Assumptions!D25</f>
        <v>0.23200000000000001</v>
      </c>
      <c r="K25" s="18">
        <f>Assumptions!E25</f>
        <v>0.23499999999999999</v>
      </c>
      <c r="M25" s="19" t="s">
        <v>28</v>
      </c>
      <c r="P25" s="19" t="s">
        <v>20</v>
      </c>
    </row>
    <row r="26" spans="2:19" ht="15" customHeight="1" x14ac:dyDescent="0.15">
      <c r="B26" s="17" t="s">
        <v>29</v>
      </c>
      <c r="G26" s="10" t="str">
        <f>TEXT(Assumptions!E4,"0%")&amp;" / "&amp;TEXT(Assumptions!E5,"0%")&amp;" / "&amp;TEXT(Assumptions!E6,"0%")&amp;" (Month 1/2/3 of quarter)"</f>
        <v>31% / 33% / 36% (Month 1/2/3 of quarter)</v>
      </c>
      <c r="H26" s="10"/>
      <c r="I26" s="10"/>
      <c r="J26" s="10"/>
      <c r="K26" s="10"/>
      <c r="L26" s="10"/>
      <c r="M26" s="10"/>
      <c r="N26" s="10"/>
      <c r="O26" s="10"/>
      <c r="P26" s="19" t="s">
        <v>25</v>
      </c>
    </row>
    <row r="28" spans="2:19" ht="15" customHeight="1" x14ac:dyDescent="0.15">
      <c r="B28" s="13" t="s">
        <v>30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</row>
    <row r="29" spans="2:19" ht="21.75" customHeight="1" x14ac:dyDescent="0.15">
      <c r="B29" s="20" t="s">
        <v>31</v>
      </c>
      <c r="H29" s="20" t="s">
        <v>32</v>
      </c>
      <c r="K29" s="20" t="s">
        <v>33</v>
      </c>
      <c r="N29" s="20" t="s">
        <v>34</v>
      </c>
      <c r="Q29" s="20" t="s">
        <v>35</v>
      </c>
    </row>
    <row r="30" spans="2:19" ht="15" customHeight="1" x14ac:dyDescent="0.15">
      <c r="B30" s="17" t="s">
        <v>36</v>
      </c>
      <c r="H30" s="21">
        <f>'Monthly Actuals'!C26</f>
        <v>24436.619999999995</v>
      </c>
      <c r="K30" s="21">
        <f>'Monthly Budget'!C23</f>
        <v>26372.602080000001</v>
      </c>
      <c r="N30" s="21">
        <f>'Rolling Forecast'!C25</f>
        <v>26852.103936000003</v>
      </c>
      <c r="Q30" s="18">
        <f>IFERROR((N30-K30)/ABS(K30),0)</f>
        <v>1.8181818181818278E-2</v>
      </c>
    </row>
    <row r="31" spans="2:19" ht="15" customHeight="1" x14ac:dyDescent="0.15">
      <c r="B31" s="17" t="s">
        <v>37</v>
      </c>
      <c r="H31" s="21">
        <f>'Monthly Actuals'!C27</f>
        <v>5747.3200000000006</v>
      </c>
      <c r="K31" s="21">
        <f>'Monthly Budget'!C24</f>
        <v>6039.325876320001</v>
      </c>
      <c r="N31" s="21">
        <f>'Rolling Forecast'!C26</f>
        <v>5907.4628659200007</v>
      </c>
      <c r="Q31" s="18">
        <f>IFERROR((N31-K31)/ABS(K31),0)</f>
        <v>-2.1834061135371233E-2</v>
      </c>
    </row>
    <row r="32" spans="2:19" ht="15" customHeight="1" x14ac:dyDescent="0.15">
      <c r="B32" s="17" t="s">
        <v>38</v>
      </c>
      <c r="H32" s="18">
        <f>'Monthly Actuals'!C27/'Monthly Actuals'!C26</f>
        <v>0.23519291947904422</v>
      </c>
      <c r="K32" s="18">
        <f>'Monthly Budget'!C24/'Monthly Budget'!C23</f>
        <v>0.22900000000000004</v>
      </c>
      <c r="N32" s="18">
        <f>'Rolling Forecast'!C26/'Rolling Forecast'!C25</f>
        <v>0.22</v>
      </c>
      <c r="Q32" s="18">
        <f>IFERROR((N32-K32)/ABS(K32),0)</f>
        <v>-3.9301310043668269E-2</v>
      </c>
    </row>
    <row r="33" spans="2:19" ht="15" customHeight="1" x14ac:dyDescent="0.15">
      <c r="B33" s="17" t="s">
        <v>39</v>
      </c>
      <c r="H33" s="21">
        <f>'Monthly Actuals'!C28</f>
        <v>3860.4900000000002</v>
      </c>
      <c r="K33" s="21">
        <f>'Monthly Budget'!C25</f>
        <v>4024.0192741171199</v>
      </c>
      <c r="N33" s="21">
        <f>'Rolling Forecast'!C27</f>
        <v>3926.3307719860809</v>
      </c>
      <c r="Q33" s="18">
        <f>IFERROR((N33-K33)/ABS(K33),0)</f>
        <v>-2.4276350453731901E-2</v>
      </c>
    </row>
    <row r="34" spans="2:19" ht="15" customHeight="1" x14ac:dyDescent="0.15">
      <c r="B34" s="17" t="s">
        <v>40</v>
      </c>
      <c r="H34" s="18">
        <f>Assumptions!C15</f>
        <v>0.39361336408316272</v>
      </c>
      <c r="K34" s="18">
        <f>Assumptions!D15</f>
        <v>0.38800000000000001</v>
      </c>
      <c r="N34" s="18">
        <f>Assumptions!E15</f>
        <v>0.39500000000000002</v>
      </c>
      <c r="Q34" s="18">
        <f>IFERROR((N34-K34)/ABS(K34),0)</f>
        <v>1.8041237113402078E-2</v>
      </c>
    </row>
    <row r="35" spans="2:19" ht="15" customHeight="1" x14ac:dyDescent="0.15">
      <c r="B35" s="17" t="s">
        <v>21</v>
      </c>
      <c r="H35" s="18">
        <f>Assumptions!C16</f>
        <v>9.8399885983778607E-2</v>
      </c>
      <c r="K35" s="18">
        <f>Assumptions!D16</f>
        <v>0.10199999999999999</v>
      </c>
      <c r="N35" s="18">
        <f>Assumptions!E16</f>
        <v>0.1</v>
      </c>
      <c r="Q35" s="18">
        <f>IFERROR((N35-K35)/ABS(K35),0)</f>
        <v>-1.9607843137254784E-2</v>
      </c>
    </row>
    <row r="36" spans="2:19" ht="15" customHeight="1" x14ac:dyDescent="0.15">
      <c r="B36" s="17" t="s">
        <v>41</v>
      </c>
      <c r="H36" s="18">
        <f>Assumptions!C17</f>
        <v>0.27878995966244291</v>
      </c>
      <c r="K36" s="18">
        <f>Assumptions!D17</f>
        <v>0.28100000000000003</v>
      </c>
      <c r="N36" s="18">
        <f>Assumptions!E17</f>
        <v>0.28499999999999998</v>
      </c>
      <c r="Q36" s="18">
        <f>IFERROR((N36-K36)/ABS(K36),0)</f>
        <v>1.4234875444839671E-2</v>
      </c>
    </row>
    <row r="38" spans="2:19" ht="15" customHeight="1" x14ac:dyDescent="0.15">
      <c r="B38" s="9" t="s">
        <v>42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40" spans="2:19" ht="15" customHeight="1" x14ac:dyDescent="0.15">
      <c r="B40" s="13" t="s">
        <v>43</v>
      </c>
      <c r="C40" s="13"/>
      <c r="D40" s="13"/>
      <c r="E40" s="13"/>
      <c r="F40" s="13"/>
      <c r="G40" s="13"/>
      <c r="H40" s="13"/>
      <c r="I40" s="13"/>
      <c r="J40" s="13" t="s">
        <v>44</v>
      </c>
      <c r="K40" s="13"/>
      <c r="L40" s="13"/>
      <c r="M40" s="13"/>
      <c r="N40" s="13"/>
      <c r="O40" s="13"/>
      <c r="P40" s="13"/>
      <c r="Q40" s="13"/>
      <c r="R40" s="13"/>
      <c r="S40" s="13"/>
    </row>
    <row r="41" spans="2:19" ht="15" customHeight="1" x14ac:dyDescent="0.15">
      <c r="B41" s="12" t="s">
        <v>45</v>
      </c>
      <c r="C41" s="12"/>
      <c r="D41" s="12"/>
      <c r="E41" s="12"/>
      <c r="F41" s="12"/>
      <c r="G41" s="12"/>
      <c r="H41" s="12"/>
      <c r="I41" s="12"/>
      <c r="J41" s="12" t="s">
        <v>46</v>
      </c>
      <c r="K41" s="12"/>
      <c r="L41" s="12"/>
      <c r="M41" s="12"/>
      <c r="N41" s="12"/>
      <c r="O41" s="12"/>
      <c r="P41" s="12"/>
      <c r="Q41" s="12"/>
      <c r="R41" s="12"/>
      <c r="S41" s="12"/>
    </row>
    <row r="42" spans="2:19" ht="15" customHeight="1" x14ac:dyDescent="0.15"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</row>
    <row r="43" spans="2:19" ht="15" customHeight="1" x14ac:dyDescent="0.15"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</row>
    <row r="44" spans="2:19" ht="15" customHeight="1" x14ac:dyDescent="0.15"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</row>
    <row r="45" spans="2:19" ht="15" customHeight="1" x14ac:dyDescent="0.15"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</row>
    <row r="46" spans="2:19" ht="15" customHeight="1" x14ac:dyDescent="0.15"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</row>
    <row r="47" spans="2:19" ht="15" customHeight="1" x14ac:dyDescent="0.15"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</row>
    <row r="48" spans="2:19" ht="15" customHeight="1" x14ac:dyDescent="0.15"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</row>
    <row r="50" spans="2:19" ht="15" customHeight="1" x14ac:dyDescent="0.15">
      <c r="B50" s="8" t="s">
        <v>47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</row>
  </sheetData>
  <mergeCells count="18">
    <mergeCell ref="B41:I48"/>
    <mergeCell ref="J41:S48"/>
    <mergeCell ref="B50:S50"/>
    <mergeCell ref="G26:O26"/>
    <mergeCell ref="B28:S28"/>
    <mergeCell ref="B38:S38"/>
    <mergeCell ref="B40:I40"/>
    <mergeCell ref="J40:S40"/>
    <mergeCell ref="B11:I11"/>
    <mergeCell ref="J11:S11"/>
    <mergeCell ref="B12:I16"/>
    <mergeCell ref="J12:S16"/>
    <mergeCell ref="B17:S17"/>
    <mergeCell ref="B2:S3"/>
    <mergeCell ref="B5:I5"/>
    <mergeCell ref="J5:S5"/>
    <mergeCell ref="B6:I9"/>
    <mergeCell ref="J6:S9"/>
  </mergeCells>
  <pageMargins left="0.3" right="0.3" top="0.4" bottom="0.4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Y100"/>
  <sheetViews>
    <sheetView showGridLines="0" zoomScaleNormal="100" workbookViewId="0"/>
  </sheetViews>
  <sheetFormatPr defaultColWidth="14.46484375" defaultRowHeight="13.5" x14ac:dyDescent="0.15"/>
  <cols>
    <col min="1" max="1" width="1.9609375" style="15" customWidth="1"/>
    <col min="2" max="2" width="20.83984375" style="15" customWidth="1"/>
    <col min="3" max="3" width="16.1796875" style="15" customWidth="1"/>
    <col min="4" max="4" width="17.0390625" style="15" customWidth="1"/>
    <col min="5" max="5" width="13.23828125" style="15" customWidth="1"/>
    <col min="6" max="6" width="10.6640625" style="15" customWidth="1"/>
    <col min="7" max="7" width="8.45703125" style="15" customWidth="1"/>
    <col min="8" max="8" width="9.55859375" style="15" customWidth="1"/>
    <col min="9" max="9" width="9.31640625" style="15" customWidth="1"/>
    <col min="10" max="10" width="24.515625" style="15" customWidth="1"/>
    <col min="11" max="11" width="9.31640625" style="15" customWidth="1"/>
    <col min="12" max="12" width="9.55859375" style="15" customWidth="1"/>
    <col min="13" max="13" width="10.6640625" style="15" customWidth="1"/>
    <col min="14" max="14" width="10.05078125" style="15" customWidth="1"/>
    <col min="15" max="15" width="6.12890625" style="15" customWidth="1"/>
    <col min="16" max="16" width="9.55859375" style="15" customWidth="1"/>
    <col min="17" max="25" width="8.703125" style="15" customWidth="1"/>
  </cols>
  <sheetData>
    <row r="2" spans="2:17" ht="15" customHeight="1" x14ac:dyDescent="0.2">
      <c r="B2" s="7" t="str">
        <f>"Management Dashboard for Q1 (Apr-26 to Jun-26) -"&amp;'Data Sheet'!B1</f>
        <v>Management Dashboard for Q1 (Apr-26 to Jun-26) -NESTLE INDIA LTD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22"/>
    </row>
    <row r="3" spans="2:17" ht="15" customHeight="1" x14ac:dyDescent="0.2">
      <c r="B3" s="6" t="s">
        <v>36</v>
      </c>
      <c r="C3" s="6"/>
      <c r="D3" s="6"/>
      <c r="F3" s="6" t="s">
        <v>48</v>
      </c>
      <c r="G3" s="6"/>
      <c r="H3" s="6"/>
      <c r="J3" s="6" t="s">
        <v>37</v>
      </c>
      <c r="K3" s="6"/>
      <c r="L3" s="6"/>
      <c r="N3" s="6" t="s">
        <v>49</v>
      </c>
      <c r="O3" s="6"/>
      <c r="P3" s="6"/>
    </row>
    <row r="4" spans="2:17" ht="15" customHeight="1" x14ac:dyDescent="0.2">
      <c r="B4" s="5">
        <f>SUM('Budget VS Actuals'!C8:E8)</f>
        <v>6378.18</v>
      </c>
      <c r="C4" s="5"/>
      <c r="D4" s="5"/>
      <c r="F4" s="4">
        <f>'Variance Analysis'!D10/'Variance Analysis'!D6</f>
        <v>0.24115500032924758</v>
      </c>
      <c r="G4" s="4"/>
      <c r="H4" s="4"/>
      <c r="J4" s="5">
        <f>SUM('Budget VS Actuals'!C32:E32)</f>
        <v>1538.1300000000003</v>
      </c>
      <c r="K4" s="5"/>
      <c r="L4" s="5"/>
      <c r="N4" s="5">
        <f>SUM('Monthly Actuals'!AD10:AF10)</f>
        <v>4840.05</v>
      </c>
      <c r="O4" s="5"/>
      <c r="P4" s="5"/>
    </row>
    <row r="5" spans="2:17" ht="15" customHeight="1" x14ac:dyDescent="0.2">
      <c r="B5" s="23" t="s">
        <v>50</v>
      </c>
      <c r="C5" s="24">
        <f>(SUM('Budget VS Actuals'!C8:E8)-SUM('Budget VS Actuals'!C7:E7))/SUM('Budget VS Actuals'!C7:E7)</f>
        <v>0.10593413987052416</v>
      </c>
      <c r="D5" s="25" t="str">
        <f>IF(C5&gt;0,"Increased","Decreased")</f>
        <v>Increased</v>
      </c>
      <c r="F5" s="23" t="s">
        <v>50</v>
      </c>
      <c r="G5" s="26">
        <f>F4-('Variance Analysis'!C10/'Variance Analysis'!C6)</f>
        <v>1.2155000329247601E-2</v>
      </c>
      <c r="H5" s="25" t="str">
        <f>IF(G5&gt;0,"Increased","Decreased")</f>
        <v>Increased</v>
      </c>
      <c r="J5" s="23" t="s">
        <v>50</v>
      </c>
      <c r="K5" s="24">
        <f>(SUM('Budget VS Actuals'!C32:E32)-SUM('Budget VS Actuals'!C31:E31))/SUM('Budget VS Actuals'!C31:E31)</f>
        <v>0.16463558019477037</v>
      </c>
      <c r="L5" s="25" t="str">
        <f>IF(K5&gt;0,"Increased","Decreased")</f>
        <v>Increased</v>
      </c>
      <c r="N5" s="23" t="s">
        <v>50</v>
      </c>
      <c r="O5" s="24">
        <f>(SUM('Monthly Actuals'!AD10:AF10)-SUM('Monthly Budget'!C8:E8))/SUM('Monthly Budget'!C8:E8)</f>
        <v>8.8498822316370726E-2</v>
      </c>
      <c r="P5" s="25" t="str">
        <f>IF(O5&gt;0,"Increased","Decreased")</f>
        <v>Increased</v>
      </c>
    </row>
    <row r="6" spans="2:17" ht="27.75" customHeight="1" x14ac:dyDescent="0.15">
      <c r="B6" s="3" t="s">
        <v>51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2:17" ht="15" customHeight="1" x14ac:dyDescent="0.2">
      <c r="B7" s="7" t="s">
        <v>52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2:17" ht="15" customHeight="1" x14ac:dyDescent="0.2">
      <c r="B8" s="6" t="s">
        <v>36</v>
      </c>
      <c r="C8" s="6"/>
      <c r="D8" s="6"/>
      <c r="E8" s="6"/>
      <c r="F8" s="6"/>
    </row>
    <row r="9" spans="2:17" ht="15" customHeight="1" x14ac:dyDescent="0.15">
      <c r="B9" s="27" t="s">
        <v>53</v>
      </c>
      <c r="C9" s="27" t="s">
        <v>54</v>
      </c>
      <c r="D9" s="27" t="s">
        <v>11</v>
      </c>
      <c r="E9" s="27" t="s">
        <v>55</v>
      </c>
      <c r="F9" s="27" t="s">
        <v>56</v>
      </c>
      <c r="J9" s="27" t="s">
        <v>57</v>
      </c>
      <c r="K9" s="27" t="s">
        <v>11</v>
      </c>
      <c r="L9" s="27" t="s">
        <v>54</v>
      </c>
      <c r="M9" s="27" t="s">
        <v>56</v>
      </c>
    </row>
    <row r="10" spans="2:17" ht="15" customHeight="1" x14ac:dyDescent="0.15">
      <c r="B10" s="28">
        <v>46113</v>
      </c>
      <c r="C10" s="29">
        <f>'Budget VS Actuals'!C8</f>
        <v>1977.2358000000002</v>
      </c>
      <c r="D10" s="29">
        <f>'Budget VS Actuals'!C7</f>
        <v>2179.5364800000002</v>
      </c>
      <c r="E10" s="29">
        <f>C10-D10</f>
        <v>-202.30068000000006</v>
      </c>
      <c r="F10" s="30">
        <f>E10/D10</f>
        <v>-9.2818212430195265E-2</v>
      </c>
      <c r="J10" s="31" t="s">
        <v>58</v>
      </c>
      <c r="K10" s="29">
        <f>'Variance Analysis'!C7</f>
        <v>2237.6864505600001</v>
      </c>
      <c r="L10" s="29">
        <f>'Variance Analysis'!D7</f>
        <v>2395.8247500000002</v>
      </c>
      <c r="M10" s="30">
        <f>'Variance Analysis'!F7</f>
        <v>7.0670445986936475E-2</v>
      </c>
    </row>
    <row r="11" spans="2:17" ht="15" customHeight="1" x14ac:dyDescent="0.15">
      <c r="B11" s="28">
        <v>46143</v>
      </c>
      <c r="C11" s="29">
        <f>'Budget VS Actuals'!D8</f>
        <v>2104.7994000000003</v>
      </c>
      <c r="D11" s="29">
        <f>'Budget VS Actuals'!D7</f>
        <v>1737.7905600000001</v>
      </c>
      <c r="E11" s="29">
        <f>C11-D11</f>
        <v>367.00884000000019</v>
      </c>
      <c r="F11" s="30">
        <f>E11/D11</f>
        <v>0.21119279184023199</v>
      </c>
      <c r="J11" s="31" t="s">
        <v>59</v>
      </c>
      <c r="K11" s="29">
        <f>'Variance Analysis'!C8</f>
        <v>588.25777823999999</v>
      </c>
      <c r="L11" s="29">
        <f>'Variance Analysis'!D8</f>
        <v>638.88660000000004</v>
      </c>
      <c r="M11" s="30">
        <f>'Variance Analysis'!F8</f>
        <v>8.6065707301781369E-2</v>
      </c>
    </row>
    <row r="12" spans="2:17" ht="15" customHeight="1" x14ac:dyDescent="0.15">
      <c r="B12" s="28">
        <v>46174</v>
      </c>
      <c r="C12" s="29">
        <f>'Budget VS Actuals'!E8</f>
        <v>2296.1448</v>
      </c>
      <c r="D12" s="29">
        <f>'Budget VS Actuals'!E7</f>
        <v>1849.9060800000002</v>
      </c>
      <c r="E12" s="29">
        <f>C12-D12</f>
        <v>446.23871999999983</v>
      </c>
      <c r="F12" s="30">
        <f>E12/D12</f>
        <v>0.24122236519164247</v>
      </c>
      <c r="J12" s="31" t="s">
        <v>60</v>
      </c>
      <c r="K12" s="29">
        <f>'Variance Analysis'!C9</f>
        <v>1620.5925067200003</v>
      </c>
      <c r="L12" s="29">
        <f>'Variance Analysis'!D9</f>
        <v>1805.3386500000001</v>
      </c>
      <c r="M12" s="30">
        <f>'Variance Analysis'!F9</f>
        <v>0.11399913458437308</v>
      </c>
    </row>
    <row r="18" spans="2:25" ht="15" customHeight="1" x14ac:dyDescent="0.2">
      <c r="G18" s="2"/>
      <c r="H18" s="2"/>
      <c r="I18" s="2"/>
    </row>
    <row r="21" spans="2:25" ht="15.75" customHeight="1" x14ac:dyDescent="0.15"/>
    <row r="22" spans="2:25" ht="15.75" customHeight="1" x14ac:dyDescent="0.15"/>
    <row r="23" spans="2:25" ht="15.75" customHeight="1" x14ac:dyDescent="0.15"/>
    <row r="24" spans="2:25" ht="15.75" customHeight="1" x14ac:dyDescent="0.15"/>
    <row r="25" spans="2:25" ht="15.75" customHeight="1" x14ac:dyDescent="0.15"/>
    <row r="26" spans="2:25" ht="15.75" customHeight="1" x14ac:dyDescent="0.15"/>
    <row r="27" spans="2:25" ht="15.75" customHeight="1" x14ac:dyDescent="0.15"/>
    <row r="28" spans="2:25" ht="15.75" customHeight="1" x14ac:dyDescent="0.15"/>
    <row r="29" spans="2:25" ht="15.75" customHeight="1" x14ac:dyDescent="0.15">
      <c r="J29" s="3" t="str">
        <f>"What this shows: all three cost lines ran hotter than budget in Q1 (COGS +"&amp;TEXT('Variance Analysis'!F7,"0.0%")&amp;", Employee +"&amp;TEXT('Variance Analysis'!F8,"0.0%")&amp;", Other Opex +"&amp;TEXT('Variance Analysis'!F9,"0.0%")&amp;"), in line with the cost-ratio assumptions on the Assumptions sheet, not a one-off spend spike in any single line."</f>
        <v>What this shows: all three cost lines ran hotter than budget in Q1 (COGS +7.1%, Employee +8.6%, Other Opex +11.4%), in line with the cost-ratio assumptions on the Assumptions sheet, not a one-off spend spike in any single line.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2:25" ht="15.75" customHeight="1" x14ac:dyDescent="0.15"/>
    <row r="31" spans="2:25" ht="18" customHeight="1" x14ac:dyDescent="0.15">
      <c r="B31" s="1" t="s">
        <v>61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32"/>
    </row>
    <row r="32" spans="2:25" ht="15.75" customHeight="1" x14ac:dyDescent="0.15"/>
    <row r="33" spans="2:9" ht="15.75" customHeight="1" x14ac:dyDescent="0.15">
      <c r="B33" s="27" t="s">
        <v>62</v>
      </c>
      <c r="C33" s="27" t="s">
        <v>14</v>
      </c>
      <c r="D33" s="27" t="s">
        <v>63</v>
      </c>
      <c r="E33" s="27" t="s">
        <v>64</v>
      </c>
      <c r="F33" s="27" t="s">
        <v>65</v>
      </c>
      <c r="G33" s="27" t="s">
        <v>66</v>
      </c>
      <c r="H33" s="27" t="s">
        <v>67</v>
      </c>
      <c r="I33" s="27" t="s">
        <v>68</v>
      </c>
    </row>
    <row r="34" spans="2:9" ht="15.75" customHeight="1" x14ac:dyDescent="0.15">
      <c r="B34" s="33" t="s">
        <v>69</v>
      </c>
      <c r="C34" s="31" t="s">
        <v>68</v>
      </c>
      <c r="D34" s="29">
        <f>'Variance Analysis'!C10</f>
        <v>1320.69638448</v>
      </c>
      <c r="E34" s="29">
        <f>D34</f>
        <v>1320.69638448</v>
      </c>
      <c r="F34" s="29">
        <f>0</f>
        <v>0</v>
      </c>
      <c r="G34" s="29">
        <f>IF(C34="Increase",MAX(D34,0),0)</f>
        <v>0</v>
      </c>
      <c r="H34" s="29">
        <f>IF(C34="Decrease",MAX(-D34,0),0)</f>
        <v>0</v>
      </c>
      <c r="I34" s="29">
        <f>IF(C34="Total",D34,0)</f>
        <v>1320.69638448</v>
      </c>
    </row>
    <row r="35" spans="2:9" ht="15.75" customHeight="1" x14ac:dyDescent="0.15">
      <c r="B35" s="34" t="s">
        <v>70</v>
      </c>
      <c r="C35" s="31" t="s">
        <v>66</v>
      </c>
      <c r="D35" s="29">
        <f>'Variance Analysis'!D6-'Variance Analysis'!C6</f>
        <v>610.94687999999951</v>
      </c>
      <c r="E35" s="29">
        <f>IF(C35="Total",D35,E34+D35)</f>
        <v>1931.6432644799995</v>
      </c>
      <c r="F35" s="29">
        <f>IF(C35="Total",0,MIN(E34,E35))</f>
        <v>1320.69638448</v>
      </c>
      <c r="G35" s="29">
        <f>IF(C35="Increase",MAX(D35,0),0)</f>
        <v>610.94687999999951</v>
      </c>
      <c r="H35" s="29">
        <f>IF(C35="Decrease",MAX(-D35,0),0)</f>
        <v>0</v>
      </c>
      <c r="I35" s="29">
        <f>IF(C35="Total",D35,0)</f>
        <v>0</v>
      </c>
    </row>
    <row r="36" spans="2:9" ht="15.75" customHeight="1" x14ac:dyDescent="0.15">
      <c r="B36" s="34" t="s">
        <v>71</v>
      </c>
      <c r="C36" s="31" t="s">
        <v>67</v>
      </c>
      <c r="D36" s="29">
        <f>-('Variance Analysis'!D7-'Variance Analysis'!C7)</f>
        <v>-158.13829944000008</v>
      </c>
      <c r="E36" s="29">
        <f>IF(C36="Total",D36,E35+D36)</f>
        <v>1773.5049650399994</v>
      </c>
      <c r="F36" s="29">
        <f>IF(C36="Total",0,MIN(E35,E36))</f>
        <v>1773.5049650399994</v>
      </c>
      <c r="G36" s="29">
        <f>IF(C36="Increase",MAX(D36,0),0)</f>
        <v>0</v>
      </c>
      <c r="H36" s="29">
        <f>IF(C36="Decrease",MAX(-D36,0),0)</f>
        <v>158.13829944000008</v>
      </c>
      <c r="I36" s="29">
        <f>IF(C36="Total",D36,0)</f>
        <v>0</v>
      </c>
    </row>
    <row r="37" spans="2:9" ht="15.75" customHeight="1" x14ac:dyDescent="0.15">
      <c r="B37" s="34" t="s">
        <v>72</v>
      </c>
      <c r="C37" s="31" t="s">
        <v>67</v>
      </c>
      <c r="D37" s="29">
        <f>-('Variance Analysis'!D8-'Variance Analysis'!C8)</f>
        <v>-50.628821760000051</v>
      </c>
      <c r="E37" s="29">
        <f>IF(C37="Total",D37,E36+D37)</f>
        <v>1722.8761432799993</v>
      </c>
      <c r="F37" s="29">
        <f>IF(C37="Total",0,MIN(E36,E37))</f>
        <v>1722.8761432799993</v>
      </c>
      <c r="G37" s="29">
        <f>IF(C37="Increase",MAX(D37,0),0)</f>
        <v>0</v>
      </c>
      <c r="H37" s="29">
        <f>IF(C37="Decrease",MAX(-D37,0),0)</f>
        <v>50.628821760000051</v>
      </c>
      <c r="I37" s="29">
        <f>IF(C37="Total",D37,0)</f>
        <v>0</v>
      </c>
    </row>
    <row r="38" spans="2:9" ht="15.75" customHeight="1" x14ac:dyDescent="0.15">
      <c r="B38" s="34" t="s">
        <v>73</v>
      </c>
      <c r="C38" s="31" t="s">
        <v>67</v>
      </c>
      <c r="D38" s="29">
        <f>-('Variance Analysis'!D9-'Variance Analysis'!C9)</f>
        <v>-184.74614327999984</v>
      </c>
      <c r="E38" s="29">
        <f>IF(C38="Total",D38,E37+D38)</f>
        <v>1538.1299999999994</v>
      </c>
      <c r="F38" s="29">
        <f>IF(C38="Total",0,MIN(E37,E38))</f>
        <v>1538.1299999999994</v>
      </c>
      <c r="G38" s="29">
        <f>IF(C38="Increase",MAX(D38,0),0)</f>
        <v>0</v>
      </c>
      <c r="H38" s="29">
        <f>IF(C38="Decrease",MAX(-D38,0),0)</f>
        <v>184.74614327999984</v>
      </c>
      <c r="I38" s="29">
        <f>IF(C38="Total",D38,0)</f>
        <v>0</v>
      </c>
    </row>
    <row r="39" spans="2:9" ht="15.75" customHeight="1" x14ac:dyDescent="0.15">
      <c r="B39" s="33" t="s">
        <v>74</v>
      </c>
      <c r="C39" s="31" t="s">
        <v>68</v>
      </c>
      <c r="D39" s="29">
        <f>'Variance Analysis'!D10</f>
        <v>1538.1300000000003</v>
      </c>
      <c r="E39" s="29">
        <f>IF(C39="Total",D39,E38+D39)</f>
        <v>1538.1300000000003</v>
      </c>
      <c r="F39" s="29">
        <f>IF(C39="Total",0,MIN(E38,E39))</f>
        <v>0</v>
      </c>
      <c r="G39" s="29">
        <f>IF(C39="Increase",MAX(D39,0),0)</f>
        <v>0</v>
      </c>
      <c r="H39" s="29">
        <f>IF(C39="Decrease",MAX(-D39,0),0)</f>
        <v>0</v>
      </c>
      <c r="I39" s="29">
        <f>IF(C39="Total",D39,0)</f>
        <v>1538.1300000000003</v>
      </c>
    </row>
    <row r="40" spans="2:9" ht="15.75" customHeight="1" x14ac:dyDescent="0.15"/>
    <row r="41" spans="2:9" ht="15.75" customHeight="1" x14ac:dyDescent="0.15"/>
    <row r="42" spans="2:9" ht="15.75" customHeight="1" x14ac:dyDescent="0.15"/>
    <row r="43" spans="2:9" ht="15.75" customHeight="1" x14ac:dyDescent="0.15"/>
    <row r="44" spans="2:9" ht="15.75" customHeight="1" x14ac:dyDescent="0.15"/>
    <row r="45" spans="2:9" ht="15.75" customHeight="1" x14ac:dyDescent="0.15"/>
    <row r="46" spans="2:9" ht="15.75" customHeight="1" x14ac:dyDescent="0.15"/>
    <row r="47" spans="2:9" ht="15.75" customHeight="1" x14ac:dyDescent="0.15"/>
    <row r="48" spans="2:9" ht="15.75" customHeight="1" x14ac:dyDescent="0.15"/>
    <row r="49" spans="2:17" ht="15.75" customHeight="1" x14ac:dyDescent="0.15"/>
    <row r="50" spans="2:17" ht="15.75" customHeight="1" x14ac:dyDescent="0.15"/>
    <row r="51" spans="2:17" ht="15.75" customHeight="1" x14ac:dyDescent="0.15"/>
    <row r="52" spans="2:17" ht="15.75" customHeight="1" x14ac:dyDescent="0.15">
      <c r="B52" s="3" t="str">
        <f>"What this shows: EBITDA moved from Rs "&amp;TEXT('Variance Analysis'!C10,"#,##0")&amp;" Cr (budget) to Rs "&amp;TEXT('Variance Analysis'!D10,"#,##0")&amp;" Cr (actual), a "&amp;TEXT('Variance Analysis'!F10,"+0.0%;-0.0%")&amp;" beat. "&amp;"Higher revenue added Rs "&amp;TEXT('Variance Analysis'!D6-'Variance Analysis'!C6,"#,##0")&amp;" Cr, which more than offset cost overruns "&amp;"in COGS, employee cost and other opex (each ran ahead of budget by roughly "&amp;TEXT('Variance Analysis'!F7,"0.0%")&amp;"). "&amp;"April alone missed budget on revenue; May and June both beat it - worth checking what changed after April."</f>
        <v>What this shows: EBITDA moved from Rs 1,321 Cr (budget) to Rs 1,538 Cr (actual), a +16.5% beat. Higher revenue added Rs 611 Cr, which more than offset cost overruns in COGS, employee cost and other opex (each ran ahead of budget by roughly 7.1%). April alone missed budget on revenue; May and June both beat it - worth checking what changed after April.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2:17" ht="15.75" customHeight="1" x14ac:dyDescent="0.15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5" spans="2:17" ht="15.75" customHeight="1" x14ac:dyDescent="0.15"/>
    <row r="56" spans="2:17" ht="18" customHeight="1" x14ac:dyDescent="0.15">
      <c r="B56" s="1" t="s">
        <v>75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32"/>
    </row>
    <row r="57" spans="2:17" ht="15.75" customHeight="1" x14ac:dyDescent="0.15"/>
    <row r="58" spans="2:17" ht="15.75" customHeight="1" x14ac:dyDescent="0.15">
      <c r="B58" s="27" t="s">
        <v>53</v>
      </c>
      <c r="C58" s="27" t="s">
        <v>76</v>
      </c>
      <c r="D58" s="27" t="s">
        <v>77</v>
      </c>
      <c r="J58" s="27" t="s">
        <v>53</v>
      </c>
      <c r="K58" s="27" t="s">
        <v>11</v>
      </c>
      <c r="L58" s="27" t="s">
        <v>54</v>
      </c>
      <c r="M58" s="27" t="s">
        <v>56</v>
      </c>
    </row>
    <row r="59" spans="2:17" ht="15.75" customHeight="1" x14ac:dyDescent="0.15">
      <c r="B59" s="35">
        <f>B10</f>
        <v>46113</v>
      </c>
      <c r="C59" s="30">
        <f>'Monthly Budget'!C13</f>
        <v>0.22900000000000004</v>
      </c>
      <c r="D59" s="30">
        <f>'Monthly Actuals'!AD15</f>
        <v>0.24115500032924755</v>
      </c>
      <c r="J59" s="35">
        <f>B10</f>
        <v>46113</v>
      </c>
      <c r="K59" s="29">
        <f>'Budget VS Actuals'!C55</f>
        <v>340.9486870579201</v>
      </c>
      <c r="L59" s="29">
        <f>'Budget VS Actuals'!C56</f>
        <v>302.2872000000001</v>
      </c>
      <c r="M59" s="30">
        <f>'Budget VS Actuals'!C58</f>
        <v>-0.11339385815365294</v>
      </c>
    </row>
    <row r="60" spans="2:17" ht="15.75" customHeight="1" x14ac:dyDescent="0.15">
      <c r="B60" s="35">
        <f>B11</f>
        <v>46143</v>
      </c>
      <c r="C60" s="30">
        <f>'Monthly Budget'!D13</f>
        <v>0.22899999999999987</v>
      </c>
      <c r="D60" s="30">
        <f>'Monthly Actuals'!AE15</f>
        <v>0.24115500032924755</v>
      </c>
      <c r="J60" s="35">
        <f>B11</f>
        <v>46143</v>
      </c>
      <c r="K60" s="29">
        <f>'Budget VS Actuals'!D55</f>
        <v>257.61720466943984</v>
      </c>
      <c r="L60" s="29">
        <f>'Budget VS Actuals'!D56</f>
        <v>321.78960000000012</v>
      </c>
      <c r="M60" s="30">
        <f>'Budget VS Actuals'!D58</f>
        <v>0.24909980454489733</v>
      </c>
    </row>
    <row r="61" spans="2:17" ht="15.75" customHeight="1" x14ac:dyDescent="0.15">
      <c r="B61" s="35">
        <f>B12</f>
        <v>46174</v>
      </c>
      <c r="C61" s="30">
        <f>'Monthly Budget'!E13</f>
        <v>0.22900000000000001</v>
      </c>
      <c r="D61" s="30">
        <f>'Monthly Actuals'!AF15</f>
        <v>0.24115500032924758</v>
      </c>
      <c r="J61" s="35">
        <f>B12</f>
        <v>46174</v>
      </c>
      <c r="K61" s="29">
        <f>'Budget VS Actuals'!E55</f>
        <v>272.74154360832006</v>
      </c>
      <c r="L61" s="29">
        <f>'Budget VS Actuals'!E56</f>
        <v>351.04320000000018</v>
      </c>
      <c r="M61" s="30">
        <f>'Budget VS Actuals'!E58</f>
        <v>0.28709105094795506</v>
      </c>
    </row>
    <row r="62" spans="2:17" ht="15.75" customHeight="1" x14ac:dyDescent="0.15"/>
    <row r="63" spans="2:17" ht="15.75" customHeight="1" x14ac:dyDescent="0.15"/>
    <row r="64" spans="2:17" ht="15.75" customHeight="1" x14ac:dyDescent="0.15"/>
    <row r="65" spans="2:17" ht="15.75" customHeight="1" x14ac:dyDescent="0.15"/>
    <row r="66" spans="2:17" ht="15.75" customHeight="1" x14ac:dyDescent="0.15"/>
    <row r="67" spans="2:17" ht="15.75" customHeight="1" x14ac:dyDescent="0.15"/>
    <row r="68" spans="2:17" ht="15.75" customHeight="1" x14ac:dyDescent="0.15"/>
    <row r="69" spans="2:17" ht="15.75" customHeight="1" x14ac:dyDescent="0.15"/>
    <row r="70" spans="2:17" ht="15.75" customHeight="1" x14ac:dyDescent="0.15"/>
    <row r="71" spans="2:17" ht="15.75" customHeight="1" x14ac:dyDescent="0.15"/>
    <row r="72" spans="2:17" ht="15.75" customHeight="1" x14ac:dyDescent="0.15"/>
    <row r="73" spans="2:17" ht="15.75" customHeight="1" x14ac:dyDescent="0.15"/>
    <row r="74" spans="2:17" ht="15.75" customHeight="1" x14ac:dyDescent="0.15"/>
    <row r="75" spans="2:17" ht="15.75" customHeight="1" x14ac:dyDescent="0.15"/>
    <row r="76" spans="2:17" ht="15.75" customHeight="1" x14ac:dyDescent="0.15"/>
    <row r="77" spans="2:17" ht="15.75" customHeight="1" x14ac:dyDescent="0.15"/>
    <row r="78" spans="2:17" ht="18" customHeight="1" x14ac:dyDescent="0.15"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</row>
    <row r="79" spans="2:17" ht="15.75" customHeight="1" x14ac:dyDescent="0.15">
      <c r="B79" s="3" t="str">
        <f>"What this shows: actual EBITDA margin held near "&amp;TEXT('Variance Analysis'!D10/'Variance Analysis'!D6,"0.0%")&amp;" through Q1. April revenue was below budget, while stronger performance in May and June more than offset "&amp;"the initial shortfall; EBITDA margin remained broadly stable because the derived monthly cost structure follows "&amp;"the assumed quarterly allocation pattern, not because of an operational cost or revenue finding."</f>
        <v>What this shows: actual EBITDA margin held near 24.1% through Q1. April revenue was below budget, while stronger performance in May and June more than offset the initial shortfall; EBITDA margin remained broadly stable because the derived monthly cost structure follows the assumed quarterly allocation pattern, not because of an operational cost or revenue finding.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2:17" ht="15.75" customHeight="1" x14ac:dyDescent="0.15">
      <c r="B80" s="3" t="str">
        <f>"What this shows: PAT beat budget by Rs "&amp;TEXT('Variance Analysis'!E14,"#,##0")&amp;" Cr for the quarter ("&amp;TEXT('Variance Analysis'!F14,"+0.0%;-0.0%")&amp;"), proportionally less than the "&amp;TEXT('Variance Analysis'!F10,"0.0%")&amp;" EBITDA beat, because the higher pre-tax profit also pushed the tax charge up "&amp;TEXT('Variance Analysis'!F13,"0.0%")&amp;" - normal flow-through, not a new issue."</f>
        <v>What this shows: PAT beat budget by Rs 104 Cr for the quarter (+11.9%), proportionally less than the 16.5% EBITDA beat, because the higher pre-tax profit also pushed the tax charge up 32.7% - normal flow-through, not a new issue.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</sheetData>
  <mergeCells count="19">
    <mergeCell ref="B52:Q53"/>
    <mergeCell ref="B56:P56"/>
    <mergeCell ref="B79:Q79"/>
    <mergeCell ref="B80:Q80"/>
    <mergeCell ref="B7:P7"/>
    <mergeCell ref="B8:F8"/>
    <mergeCell ref="G18:I18"/>
    <mergeCell ref="J29:Y29"/>
    <mergeCell ref="B31:P31"/>
    <mergeCell ref="B4:D4"/>
    <mergeCell ref="F4:H4"/>
    <mergeCell ref="J4:L4"/>
    <mergeCell ref="N4:P4"/>
    <mergeCell ref="B6:Q6"/>
    <mergeCell ref="B2:P2"/>
    <mergeCell ref="B3:D3"/>
    <mergeCell ref="F3:H3"/>
    <mergeCell ref="J3:L3"/>
    <mergeCell ref="N3:P3"/>
  </mergeCells>
  <pageMargins left="0.7" right="0.7" top="0.75" bottom="0.75" header="0.511811023622047" footer="0.511811023622047"/>
  <pageSetup fitToHeight="0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R101"/>
  <sheetViews>
    <sheetView showGridLines="0" topLeftCell="E1" zoomScaleNormal="100" workbookViewId="0"/>
  </sheetViews>
  <sheetFormatPr defaultColWidth="14.46484375" defaultRowHeight="13.5" x14ac:dyDescent="0.15"/>
  <cols>
    <col min="1" max="1" width="1.9609375" style="15" customWidth="1"/>
    <col min="2" max="2" width="24.515625" style="15" customWidth="1"/>
    <col min="3" max="3" width="16.1796875" style="15" customWidth="1"/>
    <col min="4" max="4" width="17.40625" style="15" customWidth="1"/>
    <col min="5" max="6" width="12.9921875" style="15" customWidth="1"/>
    <col min="7" max="8" width="8.703125" style="15" customWidth="1"/>
    <col min="9" max="9" width="10.05078125" style="15" customWidth="1"/>
    <col min="10" max="18" width="8.703125" style="15" customWidth="1"/>
  </cols>
  <sheetData>
    <row r="2" spans="2:18" ht="18" customHeight="1" x14ac:dyDescent="0.15">
      <c r="B2" s="1" t="str">
        <f>"Forecast Dashboard for FY27 (Jul-26 to Jun-27) - "&amp;'Data Sheet'!B1</f>
        <v>Forecast Dashboard for FY27 (Jul-26 to Jun-27) - NESTLE INDIA LTD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2:18" ht="15" customHeight="1" x14ac:dyDescent="0.15">
      <c r="B3" s="117" t="s">
        <v>36</v>
      </c>
      <c r="C3" s="117"/>
      <c r="D3" s="117"/>
      <c r="F3" s="117" t="s">
        <v>48</v>
      </c>
      <c r="G3" s="117"/>
      <c r="H3" s="117"/>
      <c r="J3" s="117" t="s">
        <v>37</v>
      </c>
      <c r="K3" s="117"/>
      <c r="L3" s="117"/>
      <c r="N3" s="117" t="s">
        <v>39</v>
      </c>
      <c r="O3" s="117"/>
      <c r="P3" s="117"/>
    </row>
    <row r="4" spans="2:18" ht="15" customHeight="1" x14ac:dyDescent="0.15">
      <c r="B4" s="118">
        <f>'Variance Analysis'!D18</f>
        <v>26852.103936000003</v>
      </c>
      <c r="C4" s="118"/>
      <c r="D4" s="118"/>
      <c r="F4" s="119">
        <f>'Variance Analysis'!D22/'Variance Analysis'!D18</f>
        <v>0.22</v>
      </c>
      <c r="G4" s="119"/>
      <c r="H4" s="119"/>
      <c r="J4" s="118">
        <f>'Variance Analysis'!D22</f>
        <v>5907.4628659200007</v>
      </c>
      <c r="K4" s="118"/>
      <c r="L4" s="118"/>
      <c r="N4" s="118">
        <f>'Variance Analysis'!D26</f>
        <v>3926.3307719860809</v>
      </c>
      <c r="O4" s="118"/>
      <c r="P4" s="118"/>
    </row>
    <row r="5" spans="2:18" ht="15" customHeight="1" x14ac:dyDescent="0.2">
      <c r="B5" s="36" t="s">
        <v>50</v>
      </c>
      <c r="C5" s="24">
        <f>'Variance Analysis'!F18</f>
        <v>1.8181818181818278E-2</v>
      </c>
      <c r="D5" s="36" t="str">
        <f>IF(C5&gt;0,"Increased","Decreased")</f>
        <v>Increased</v>
      </c>
      <c r="F5" s="36" t="s">
        <v>50</v>
      </c>
      <c r="G5" s="26">
        <f>F4-('Variance Analysis'!C22/'Variance Analysis'!C18)</f>
        <v>-9.0000000000000357E-3</v>
      </c>
      <c r="H5" s="36" t="str">
        <f>IF(G5&gt;0,"Increased","Decreased")</f>
        <v>Decreased</v>
      </c>
      <c r="J5" s="36" t="s">
        <v>50</v>
      </c>
      <c r="K5" s="24">
        <f>'Variance Analysis'!F22</f>
        <v>-2.1834061135371233E-2</v>
      </c>
      <c r="L5" s="36" t="str">
        <f>IF(K5&gt;0,"Increased","Decreased")</f>
        <v>Decreased</v>
      </c>
      <c r="N5" s="36" t="s">
        <v>50</v>
      </c>
      <c r="O5" s="24">
        <f>'Variance Analysis'!F26</f>
        <v>-2.4276350453731901E-2</v>
      </c>
      <c r="P5" s="36" t="str">
        <f>IF(O5&gt;0,"Increased","Decreased")</f>
        <v>Decreased</v>
      </c>
    </row>
    <row r="6" spans="2:18" ht="27.75" customHeight="1" x14ac:dyDescent="0.15">
      <c r="B6" s="3" t="s">
        <v>78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2:18" ht="18" customHeight="1" x14ac:dyDescent="0.15">
      <c r="B7" s="1" t="s">
        <v>79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2:18" ht="15" customHeight="1" x14ac:dyDescent="0.15">
      <c r="B8" s="117" t="s">
        <v>36</v>
      </c>
      <c r="C8" s="117"/>
      <c r="D8" s="117"/>
      <c r="E8" s="117"/>
      <c r="F8" s="117"/>
    </row>
    <row r="9" spans="2:18" ht="15" customHeight="1" x14ac:dyDescent="0.15">
      <c r="B9" s="27" t="s">
        <v>53</v>
      </c>
      <c r="C9" s="27" t="s">
        <v>12</v>
      </c>
      <c r="D9" s="27" t="s">
        <v>11</v>
      </c>
      <c r="E9" s="27" t="s">
        <v>55</v>
      </c>
      <c r="F9" s="27" t="s">
        <v>56</v>
      </c>
    </row>
    <row r="10" spans="2:18" ht="15" customHeight="1" x14ac:dyDescent="0.15">
      <c r="B10" s="37">
        <f>'Budget VS Forecast'!C4</f>
        <v>46204</v>
      </c>
      <c r="C10" s="29">
        <f>'Budget VS Forecast'!C8</f>
        <v>2054.7717120000002</v>
      </c>
      <c r="D10" s="29">
        <f>'Budget VS Forecast'!C7</f>
        <v>2018.07936</v>
      </c>
      <c r="E10" s="29">
        <f>C10-D10</f>
        <v>36.692352000000255</v>
      </c>
      <c r="F10" s="30">
        <f>IFERROR(E10/ABS(D10),0)</f>
        <v>1.8181818181818309E-2</v>
      </c>
    </row>
    <row r="11" spans="2:18" ht="15" customHeight="1" x14ac:dyDescent="0.15">
      <c r="B11" s="37">
        <f>'Budget VS Forecast'!D4</f>
        <v>46235</v>
      </c>
      <c r="C11" s="29">
        <f>'Budget VS Forecast'!D8</f>
        <v>1959.4613920000002</v>
      </c>
      <c r="D11" s="29">
        <f>'Budget VS Forecast'!D7</f>
        <v>1924.4710100000002</v>
      </c>
      <c r="E11" s="29">
        <f>C11-D11</f>
        <v>34.990381999999954</v>
      </c>
      <c r="F11" s="30">
        <f>IFERROR(E11/ABS(D11),0)</f>
        <v>1.8181818181818157E-2</v>
      </c>
    </row>
    <row r="12" spans="2:18" ht="15" customHeight="1" x14ac:dyDescent="0.15">
      <c r="B12" s="37">
        <f>'Budget VS Forecast'!E4</f>
        <v>46266</v>
      </c>
      <c r="C12" s="29">
        <f>'Budget VS Forecast'!E8</f>
        <v>2085.8782560000004</v>
      </c>
      <c r="D12" s="29">
        <f>'Budget VS Forecast'!E7</f>
        <v>2048.6304300000002</v>
      </c>
      <c r="E12" s="29">
        <f>C12-D12</f>
        <v>37.247826000000259</v>
      </c>
      <c r="F12" s="30">
        <f>IFERROR(E12/ABS(D12),0)</f>
        <v>1.8181818181818306E-2</v>
      </c>
    </row>
    <row r="13" spans="2:18" ht="15" customHeight="1" x14ac:dyDescent="0.15">
      <c r="B13" s="37">
        <f>'Budget VS Forecast'!F4</f>
        <v>46296</v>
      </c>
      <c r="C13" s="29">
        <f>'Budget VS Forecast'!F8</f>
        <v>2275.5035520000001</v>
      </c>
      <c r="D13" s="29">
        <f>'Budget VS Forecast'!F7</f>
        <v>2234.8695600000001</v>
      </c>
      <c r="E13" s="29">
        <f>C13-D13</f>
        <v>40.633992000000035</v>
      </c>
      <c r="F13" s="30">
        <f>IFERROR(E13/ABS(D13),0)</f>
        <v>1.8181818181818198E-2</v>
      </c>
    </row>
    <row r="14" spans="2:18" ht="15" customHeight="1" x14ac:dyDescent="0.15">
      <c r="B14" s="37">
        <f>'Budget VS Forecast'!G4</f>
        <v>46327</v>
      </c>
      <c r="C14" s="29">
        <f>'Budget VS Forecast'!G8</f>
        <v>1967.5962880000002</v>
      </c>
      <c r="D14" s="29">
        <f>'Budget VS Forecast'!G7</f>
        <v>1932.4606400000002</v>
      </c>
      <c r="E14" s="29">
        <f>C14-D14</f>
        <v>35.135647999999946</v>
      </c>
      <c r="F14" s="30">
        <f>IFERROR(E14/ABS(D14),0)</f>
        <v>1.8181818181818153E-2</v>
      </c>
    </row>
    <row r="15" spans="2:18" ht="15" customHeight="1" x14ac:dyDescent="0.15">
      <c r="B15" s="37">
        <f>'Budget VS Forecast'!H4</f>
        <v>46357</v>
      </c>
      <c r="C15" s="29">
        <f>'Budget VS Forecast'!H8</f>
        <v>2094.5379840000001</v>
      </c>
      <c r="D15" s="29">
        <f>'Budget VS Forecast'!H7</f>
        <v>2057.1355200000003</v>
      </c>
      <c r="E15" s="29">
        <f>C15-D15</f>
        <v>37.402463999999782</v>
      </c>
      <c r="F15" s="30">
        <f>IFERROR(E15/ABS(D15),0)</f>
        <v>1.8181818181818073E-2</v>
      </c>
    </row>
    <row r="16" spans="2:18" ht="15" customHeight="1" x14ac:dyDescent="0.15">
      <c r="B16" s="37">
        <f>'Budget VS Forecast'!I4</f>
        <v>46388</v>
      </c>
      <c r="C16" s="29">
        <f>'Budget VS Forecast'!I8</f>
        <v>2284.9505280000003</v>
      </c>
      <c r="D16" s="29">
        <f>'Budget VS Forecast'!I7</f>
        <v>2244.1478400000001</v>
      </c>
      <c r="E16" s="29">
        <f>C16-D16</f>
        <v>40.802688000000217</v>
      </c>
      <c r="F16" s="30">
        <f>IFERROR(E16/ABS(D16),0)</f>
        <v>1.8181818181818278E-2</v>
      </c>
    </row>
    <row r="17" spans="2:18" ht="15" customHeight="1" x14ac:dyDescent="0.15">
      <c r="B17" s="37">
        <f>'Budget VS Forecast'!J4</f>
        <v>46419</v>
      </c>
      <c r="C17" s="29">
        <f>'Budget VS Forecast'!J8</f>
        <v>2342.832688</v>
      </c>
      <c r="D17" s="29">
        <f>'Budget VS Forecast'!J7</f>
        <v>2300.9963900000002</v>
      </c>
      <c r="E17" s="29">
        <f>C17-D17</f>
        <v>41.836297999999715</v>
      </c>
      <c r="F17" s="30">
        <f>IFERROR(E17/ABS(D17),0)</f>
        <v>1.8181818181818056E-2</v>
      </c>
    </row>
    <row r="18" spans="2:18" ht="15" customHeight="1" x14ac:dyDescent="0.15">
      <c r="B18" s="37">
        <f>'Budget VS Forecast'!K4</f>
        <v>46447</v>
      </c>
      <c r="C18" s="29">
        <f>'Budget VS Forecast'!K8</f>
        <v>2493.9831840000002</v>
      </c>
      <c r="D18" s="29">
        <f>'Budget VS Forecast'!K7</f>
        <v>2449.4477700000002</v>
      </c>
      <c r="E18" s="29">
        <f>C18-D18</f>
        <v>44.535413999999946</v>
      </c>
      <c r="F18" s="30">
        <f>IFERROR(E18/ABS(D18),0)</f>
        <v>1.8181818181818157E-2</v>
      </c>
    </row>
    <row r="19" spans="2:18" ht="15" customHeight="1" x14ac:dyDescent="0.15">
      <c r="B19" s="37">
        <f>'Budget VS Forecast'!L4</f>
        <v>46478</v>
      </c>
      <c r="C19" s="29">
        <f>'Budget VS Forecast'!L8</f>
        <v>2720.7089280000005</v>
      </c>
      <c r="D19" s="29">
        <f>'Budget VS Forecast'!L7</f>
        <v>2672.1248400000004</v>
      </c>
      <c r="E19" s="29">
        <f>C19-D19</f>
        <v>48.584088000000065</v>
      </c>
      <c r="F19" s="30">
        <f>IFERROR(E19/ABS(D19),0)</f>
        <v>1.8181818181818202E-2</v>
      </c>
    </row>
    <row r="20" spans="2:18" ht="15" customHeight="1" x14ac:dyDescent="0.15">
      <c r="B20" s="37">
        <f>'Budget VS Forecast'!M4</f>
        <v>46508</v>
      </c>
      <c r="C20" s="29">
        <f>'Budget VS Forecast'!M8</f>
        <v>2214.5040960000006</v>
      </c>
      <c r="D20" s="29">
        <f>'Budget VS Forecast'!M7</f>
        <v>2174.9593800000002</v>
      </c>
      <c r="E20" s="29">
        <f>C20-D20</f>
        <v>39.544716000000335</v>
      </c>
      <c r="F20" s="30">
        <f>IFERROR(E20/ABS(D20),0)</f>
        <v>1.8181818181818334E-2</v>
      </c>
    </row>
    <row r="21" spans="2:18" ht="15.75" customHeight="1" x14ac:dyDescent="0.15">
      <c r="B21" s="37">
        <f>'Budget VS Forecast'!N4</f>
        <v>46539</v>
      </c>
      <c r="C21" s="29">
        <f>'Budget VS Forecast'!N8</f>
        <v>2357.3753280000005</v>
      </c>
      <c r="D21" s="29">
        <f>'Budget VS Forecast'!N7</f>
        <v>2315.2793400000005</v>
      </c>
      <c r="E21" s="29">
        <f>C21-D21</f>
        <v>42.095988000000034</v>
      </c>
      <c r="F21" s="30">
        <f>IFERROR(E21/ABS(D21),0)</f>
        <v>1.8181818181818191E-2</v>
      </c>
    </row>
    <row r="22" spans="2:18" ht="15.75" customHeight="1" x14ac:dyDescent="0.15"/>
    <row r="23" spans="2:18" ht="15.75" customHeight="1" x14ac:dyDescent="0.15">
      <c r="B23" s="3" t="s">
        <v>80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18" ht="15.75" customHeight="1" x14ac:dyDescent="0.1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18" ht="18" customHeight="1" x14ac:dyDescent="0.15">
      <c r="B25" s="1" t="s">
        <v>81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2:18" ht="15.75" customHeight="1" x14ac:dyDescent="0.15"/>
    <row r="27" spans="2:18" ht="15.75" customHeight="1" x14ac:dyDescent="0.15">
      <c r="B27" s="27" t="s">
        <v>62</v>
      </c>
      <c r="C27" s="27" t="s">
        <v>14</v>
      </c>
      <c r="D27" s="27" t="s">
        <v>63</v>
      </c>
      <c r="E27" s="27" t="s">
        <v>64</v>
      </c>
      <c r="F27" s="27" t="s">
        <v>65</v>
      </c>
      <c r="G27" s="27" t="s">
        <v>66</v>
      </c>
      <c r="H27" s="27" t="s">
        <v>67</v>
      </c>
      <c r="I27" s="27" t="s">
        <v>68</v>
      </c>
    </row>
    <row r="28" spans="2:18" ht="15.75" customHeight="1" x14ac:dyDescent="0.15">
      <c r="B28" s="33" t="s">
        <v>82</v>
      </c>
      <c r="C28" s="31" t="s">
        <v>68</v>
      </c>
      <c r="D28" s="29">
        <f>'Variance Analysis'!C22</f>
        <v>6039.325876320001</v>
      </c>
      <c r="E28" s="29">
        <f>D28</f>
        <v>6039.325876320001</v>
      </c>
      <c r="F28" s="29">
        <f>0</f>
        <v>0</v>
      </c>
      <c r="G28" s="29">
        <f>IF(C28="Increase",MAX(D28,0),0)</f>
        <v>0</v>
      </c>
      <c r="H28" s="29">
        <f>IF(C28="Decrease",MAX(-D28,0),0)</f>
        <v>0</v>
      </c>
      <c r="I28" s="29">
        <f>IF(C28="Total",D28,0)</f>
        <v>6039.325876320001</v>
      </c>
    </row>
    <row r="29" spans="2:18" ht="15.75" customHeight="1" x14ac:dyDescent="0.15">
      <c r="B29" s="34" t="s">
        <v>70</v>
      </c>
      <c r="C29" s="31" t="s">
        <v>66</v>
      </c>
      <c r="D29" s="29">
        <f>'Variance Analysis'!D18-'Variance Analysis'!C18</f>
        <v>479.50185600000259</v>
      </c>
      <c r="E29" s="29">
        <f>IF(C29="Total",D29,E28+D29)</f>
        <v>6518.8277323200036</v>
      </c>
      <c r="F29" s="29">
        <f>IF(C29="Total",0,MIN(E28,E29))</f>
        <v>6039.325876320001</v>
      </c>
      <c r="G29" s="29">
        <f>IF(C29="Increase",MAX(D29,0),0)</f>
        <v>479.50185600000259</v>
      </c>
      <c r="H29" s="29">
        <f>IF(C29="Decrease",MAX(-D29,0),0)</f>
        <v>0</v>
      </c>
      <c r="I29" s="29">
        <f>IF(C29="Total",D29,0)</f>
        <v>0</v>
      </c>
    </row>
    <row r="30" spans="2:18" ht="15.75" customHeight="1" x14ac:dyDescent="0.15">
      <c r="B30" s="34" t="s">
        <v>71</v>
      </c>
      <c r="C30" s="31" t="s">
        <v>67</v>
      </c>
      <c r="D30" s="29">
        <f>-('Variance Analysis'!D19-'Variance Analysis'!C19)</f>
        <v>-374.01144768000268</v>
      </c>
      <c r="E30" s="29">
        <f>IF(C30="Total",D30,E29+D30)</f>
        <v>6144.816284640001</v>
      </c>
      <c r="F30" s="29">
        <f>IF(C30="Total",0,MIN(E29,E30))</f>
        <v>6144.816284640001</v>
      </c>
      <c r="G30" s="29">
        <f>IF(C30="Increase",MAX(D30,0),0)</f>
        <v>0</v>
      </c>
      <c r="H30" s="29">
        <f>IF(C30="Decrease",MAX(-D30,0),0)</f>
        <v>374.01144768000268</v>
      </c>
      <c r="I30" s="29">
        <f>IF(C30="Total",D30,0)</f>
        <v>0</v>
      </c>
    </row>
    <row r="31" spans="2:18" ht="15.75" customHeight="1" x14ac:dyDescent="0.15">
      <c r="B31" s="34" t="s">
        <v>72</v>
      </c>
      <c r="C31" s="31" t="s">
        <v>67</v>
      </c>
      <c r="D31" s="29">
        <f>-('Variance Analysis'!D20-'Variance Analysis'!C20)</f>
        <v>4.7950185600002442</v>
      </c>
      <c r="E31" s="29">
        <f>IF(C31="Total",D31,E30+D31)</f>
        <v>6149.6113032000012</v>
      </c>
      <c r="F31" s="29">
        <f>IF(C31="Total",0,MIN(E30,E31))</f>
        <v>6144.816284640001</v>
      </c>
      <c r="G31" s="29">
        <f>IF(C31="Increase",MAX(D31,0),0)</f>
        <v>0</v>
      </c>
      <c r="H31" s="29">
        <f>IF(C31="Decrease",MAX(-D31,0),0)</f>
        <v>0</v>
      </c>
      <c r="I31" s="29">
        <f>IF(C31="Total",D31,0)</f>
        <v>0</v>
      </c>
    </row>
    <row r="32" spans="2:18" ht="15.75" customHeight="1" x14ac:dyDescent="0.15">
      <c r="B32" s="34" t="s">
        <v>73</v>
      </c>
      <c r="C32" s="31" t="s">
        <v>67</v>
      </c>
      <c r="D32" s="29">
        <f>-('Variance Analysis'!D21-'Variance Analysis'!C21)</f>
        <v>-242.14843727999778</v>
      </c>
      <c r="E32" s="29">
        <f>IF(C32="Total",D32,E31+D32)</f>
        <v>5907.4628659200034</v>
      </c>
      <c r="F32" s="29">
        <f>IF(C32="Total",0,MIN(E31,E32))</f>
        <v>5907.4628659200034</v>
      </c>
      <c r="G32" s="29">
        <f>IF(C32="Increase",MAX(D32,0),0)</f>
        <v>0</v>
      </c>
      <c r="H32" s="29">
        <f>IF(C32="Decrease",MAX(-D32,0),0)</f>
        <v>242.14843727999778</v>
      </c>
      <c r="I32" s="29">
        <f>IF(C32="Total",D32,0)</f>
        <v>0</v>
      </c>
    </row>
    <row r="33" spans="2:18" ht="15.75" customHeight="1" x14ac:dyDescent="0.15">
      <c r="B33" s="33" t="s">
        <v>83</v>
      </c>
      <c r="C33" s="31" t="s">
        <v>68</v>
      </c>
      <c r="D33" s="29">
        <f>'Variance Analysis'!D22</f>
        <v>5907.4628659200007</v>
      </c>
      <c r="E33" s="29">
        <f>IF(C33="Total",D33,E32+D33)</f>
        <v>5907.4628659200007</v>
      </c>
      <c r="F33" s="29">
        <f>IF(C33="Total",0,MIN(E32,E33))</f>
        <v>0</v>
      </c>
      <c r="G33" s="29">
        <f>IF(C33="Increase",MAX(D33,0),0)</f>
        <v>0</v>
      </c>
      <c r="H33" s="29">
        <f>IF(C33="Decrease",MAX(-D33,0),0)</f>
        <v>0</v>
      </c>
      <c r="I33" s="29">
        <f>IF(C33="Total",D33,0)</f>
        <v>5907.4628659200007</v>
      </c>
    </row>
    <row r="34" spans="2:18" ht="15.75" customHeight="1" x14ac:dyDescent="0.15"/>
    <row r="35" spans="2:18" ht="15.75" customHeight="1" x14ac:dyDescent="0.15"/>
    <row r="36" spans="2:18" ht="15.75" customHeight="1" x14ac:dyDescent="0.15"/>
    <row r="37" spans="2:18" ht="15.75" customHeight="1" x14ac:dyDescent="0.15"/>
    <row r="38" spans="2:18" ht="15.75" customHeight="1" x14ac:dyDescent="0.15"/>
    <row r="39" spans="2:18" ht="15.75" customHeight="1" x14ac:dyDescent="0.15"/>
    <row r="40" spans="2:18" ht="15.75" customHeight="1" x14ac:dyDescent="0.15"/>
    <row r="41" spans="2:18" ht="15.75" customHeight="1" x14ac:dyDescent="0.15"/>
    <row r="42" spans="2:18" ht="15.75" customHeight="1" x14ac:dyDescent="0.15"/>
    <row r="43" spans="2:18" ht="15.75" customHeight="1" x14ac:dyDescent="0.15"/>
    <row r="44" spans="2:18" ht="15.75" customHeight="1" x14ac:dyDescent="0.15">
      <c r="B44" s="3" t="str">
        <f>"What this shows: full-year forecast EBITDA comes in at Rs "&amp;TEXT('Variance Analysis'!D22,"#,##0")&amp;" Cr versus a Rs "&amp;TEXT('Variance Analysis'!C22,"#,##0")&amp;" Cr budget, a "&amp;TEXT('Variance Analysis'!F22,"+0.0%;-0.0%")&amp;" shortfall. Forecast revenue is actually Rs "&amp;TEXT('Variance Analysis'!D18-'Variance Analysis'!C18,"#,##0")&amp;" Cr above budget, but COGS, employee cost and other opex are all forecast to run further ahead of budget still - "&amp;"cost growth is outpacing revenue growth in this scenario, the opposite pattern from the Q1 actuals."</f>
        <v>What this shows: full-year forecast EBITDA comes in at Rs 5,907 Cr versus a Rs 6,039 Cr budget, a -2.2% shortfall. Forecast revenue is actually Rs 480 Cr above budget, but COGS, employee cost and other opex are all forecast to run further ahead of budget still - cost growth is outpacing revenue growth in this scenario, the opposite pattern from the Q1 actuals.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2:18" ht="15.75" customHeight="1" x14ac:dyDescent="0.15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2:18" ht="18" customHeight="1" x14ac:dyDescent="0.15">
      <c r="B46" s="1" t="s">
        <v>84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2:18" ht="15.75" customHeight="1" x14ac:dyDescent="0.15"/>
    <row r="48" spans="2:18" ht="15.75" customHeight="1" x14ac:dyDescent="0.15">
      <c r="B48" s="27" t="s">
        <v>57</v>
      </c>
      <c r="C48" s="27" t="s">
        <v>11</v>
      </c>
      <c r="D48" s="27" t="s">
        <v>12</v>
      </c>
      <c r="E48" s="27" t="s">
        <v>56</v>
      </c>
    </row>
    <row r="49" spans="2:17" ht="15.75" customHeight="1" x14ac:dyDescent="0.15">
      <c r="B49" s="31" t="s">
        <v>58</v>
      </c>
      <c r="C49" s="29">
        <f>'Variance Analysis'!C19</f>
        <v>10232.569607039999</v>
      </c>
      <c r="D49" s="29">
        <f>'Variance Analysis'!D19</f>
        <v>10606.581054720002</v>
      </c>
      <c r="E49" s="30">
        <f>'Variance Analysis'!F19</f>
        <v>3.6551077788191458E-2</v>
      </c>
    </row>
    <row r="50" spans="2:17" ht="15.75" customHeight="1" x14ac:dyDescent="0.15">
      <c r="B50" s="31" t="s">
        <v>59</v>
      </c>
      <c r="C50" s="29">
        <f>'Variance Analysis'!C20</f>
        <v>2690.0054121600006</v>
      </c>
      <c r="D50" s="29">
        <f>'Variance Analysis'!D20</f>
        <v>2685.2103936000003</v>
      </c>
      <c r="E50" s="30">
        <f>'Variance Analysis'!F20</f>
        <v>-1.7825311942959905E-3</v>
      </c>
    </row>
    <row r="51" spans="2:17" ht="15.75" customHeight="1" x14ac:dyDescent="0.15">
      <c r="B51" s="31" t="s">
        <v>60</v>
      </c>
      <c r="C51" s="29">
        <f>'Variance Analysis'!C21</f>
        <v>7410.7011844800027</v>
      </c>
      <c r="D51" s="29">
        <f>'Variance Analysis'!D21</f>
        <v>7652.8496217600004</v>
      </c>
      <c r="E51" s="30">
        <f>'Variance Analysis'!F21</f>
        <v>3.2675509543836634E-2</v>
      </c>
    </row>
    <row r="52" spans="2:17" ht="15.75" customHeight="1" x14ac:dyDescent="0.15"/>
    <row r="53" spans="2:17" ht="15.75" customHeight="1" x14ac:dyDescent="0.15"/>
    <row r="54" spans="2:17" ht="15.75" customHeight="1" x14ac:dyDescent="0.15"/>
    <row r="55" spans="2:17" ht="15.75" customHeight="1" x14ac:dyDescent="0.15"/>
    <row r="56" spans="2:17" ht="15.75" customHeight="1" x14ac:dyDescent="0.15"/>
    <row r="57" spans="2:17" ht="15.75" customHeight="1" x14ac:dyDescent="0.15"/>
    <row r="58" spans="2:17" ht="15.75" customHeight="1" x14ac:dyDescent="0.15"/>
    <row r="59" spans="2:17" ht="15.75" customHeight="1" x14ac:dyDescent="0.15"/>
    <row r="60" spans="2:17" ht="15.75" customHeight="1" x14ac:dyDescent="0.15"/>
    <row r="61" spans="2:17" ht="15.75" customHeight="1" x14ac:dyDescent="0.15"/>
    <row r="62" spans="2:17" ht="15.75" customHeight="1" x14ac:dyDescent="0.15"/>
    <row r="63" spans="2:17" ht="15.75" customHeight="1" x14ac:dyDescent="0.15"/>
    <row r="64" spans="2:17" ht="15.75" customHeight="1" x14ac:dyDescent="0.15">
      <c r="B64" s="3" t="str">
        <f>"What this shows: every cost line is forecast to exceed budget by roughly "&amp;TEXT('Variance Analysis'!F19,"0.0%")&amp;" - all three cost-ratio assumptions (Assumptions!E15:E17) were set slightly higher than Budget's, so this gap "&amp;"is a modelling choice, not a bottom-up cost forecast."</f>
        <v>What this shows: every cost line is forecast to exceed budget by roughly 3.7% - all three cost-ratio assumptions (Assumptions!E15:E17) were set slightly higher than Budget's, so this gap is a modelling choice, not a bottom-up cost forecast.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2:18" ht="15.75" customHeight="1" x14ac:dyDescent="0.15"/>
    <row r="66" spans="2:18" ht="18" customHeight="1" x14ac:dyDescent="0.15">
      <c r="B66" s="1" t="s">
        <v>85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2:18" ht="15.75" customHeight="1" x14ac:dyDescent="0.15"/>
    <row r="68" spans="2:18" ht="15.75" customHeight="1" x14ac:dyDescent="0.15">
      <c r="B68" s="27" t="s">
        <v>53</v>
      </c>
      <c r="C68" s="27" t="s">
        <v>76</v>
      </c>
      <c r="D68" s="27" t="s">
        <v>86</v>
      </c>
    </row>
    <row r="69" spans="2:18" ht="15.75" customHeight="1" x14ac:dyDescent="0.15">
      <c r="B69" s="35">
        <f>'Budget VS Forecast'!C4</f>
        <v>46204</v>
      </c>
      <c r="C69" s="30">
        <f>'Monthly Budget'!F13</f>
        <v>0.22899999999999995</v>
      </c>
      <c r="D69" s="30">
        <f>'Rolling Forecast'!D14</f>
        <v>0.21999999999999992</v>
      </c>
    </row>
    <row r="70" spans="2:18" ht="15.75" customHeight="1" x14ac:dyDescent="0.15">
      <c r="B70" s="35">
        <f>'Budget VS Forecast'!D4</f>
        <v>46235</v>
      </c>
      <c r="C70" s="30">
        <f>'Monthly Budget'!G13</f>
        <v>0.22900000000000001</v>
      </c>
      <c r="D70" s="30">
        <f>'Rolling Forecast'!E14</f>
        <v>0.21999999999999995</v>
      </c>
    </row>
    <row r="71" spans="2:18" ht="15.75" customHeight="1" x14ac:dyDescent="0.15">
      <c r="B71" s="35">
        <f>'Budget VS Forecast'!E4</f>
        <v>46266</v>
      </c>
      <c r="C71" s="30">
        <f>'Monthly Budget'!H13</f>
        <v>0.22899999999999998</v>
      </c>
      <c r="D71" s="30">
        <f>'Rolling Forecast'!F14</f>
        <v>0.22000000000000006</v>
      </c>
    </row>
    <row r="72" spans="2:18" ht="15.75" customHeight="1" x14ac:dyDescent="0.15">
      <c r="B72" s="35">
        <f>'Budget VS Forecast'!F4</f>
        <v>46296</v>
      </c>
      <c r="C72" s="30">
        <f>'Monthly Budget'!I13</f>
        <v>0.22899999999999993</v>
      </c>
      <c r="D72" s="30">
        <f>'Rolling Forecast'!G14</f>
        <v>0.22000000000000008</v>
      </c>
    </row>
    <row r="73" spans="2:18" ht="15.75" customHeight="1" x14ac:dyDescent="0.15">
      <c r="B73" s="35">
        <f>'Budget VS Forecast'!G4</f>
        <v>46327</v>
      </c>
      <c r="C73" s="30">
        <f>'Monthly Budget'!J13</f>
        <v>0.22899999999999998</v>
      </c>
      <c r="D73" s="30">
        <f>'Rolling Forecast'!H14</f>
        <v>0.22</v>
      </c>
    </row>
    <row r="74" spans="2:18" ht="15.75" customHeight="1" x14ac:dyDescent="0.15">
      <c r="B74" s="35">
        <f>'Budget VS Forecast'!H4</f>
        <v>46357</v>
      </c>
      <c r="C74" s="30">
        <f>'Monthly Budget'!K13</f>
        <v>0.22899999999999998</v>
      </c>
      <c r="D74" s="30">
        <f>'Rolling Forecast'!I14</f>
        <v>0.22000000000000008</v>
      </c>
    </row>
    <row r="75" spans="2:18" ht="15.75" customHeight="1" x14ac:dyDescent="0.15">
      <c r="B75" s="35">
        <f>'Budget VS Forecast'!I4</f>
        <v>46388</v>
      </c>
      <c r="C75" s="30">
        <f>'Monthly Budget'!L13</f>
        <v>0.22900000000000006</v>
      </c>
      <c r="D75" s="30">
        <f>'Rolling Forecast'!J14</f>
        <v>0.22000000000000003</v>
      </c>
    </row>
    <row r="76" spans="2:18" ht="15.75" customHeight="1" x14ac:dyDescent="0.15">
      <c r="B76" s="35">
        <f>'Budget VS Forecast'!J4</f>
        <v>46419</v>
      </c>
      <c r="C76" s="30">
        <f>'Monthly Budget'!M13</f>
        <v>0.22900000000000004</v>
      </c>
      <c r="D76" s="30">
        <f>'Rolling Forecast'!K14</f>
        <v>0.22000000000000006</v>
      </c>
    </row>
    <row r="77" spans="2:18" ht="15.75" customHeight="1" x14ac:dyDescent="0.15">
      <c r="B77" s="35">
        <f>'Budget VS Forecast'!K4</f>
        <v>46447</v>
      </c>
      <c r="C77" s="30">
        <f>'Monthly Budget'!N13</f>
        <v>0.22900000000000001</v>
      </c>
      <c r="D77" s="30">
        <f>'Rolling Forecast'!L14</f>
        <v>0.22</v>
      </c>
    </row>
    <row r="78" spans="2:18" ht="15.75" customHeight="1" x14ac:dyDescent="0.15">
      <c r="B78" s="35">
        <f>'Budget VS Forecast'!L4</f>
        <v>46478</v>
      </c>
      <c r="C78" s="30">
        <f>'Monthly Budget'!O13</f>
        <v>0.22899999999999993</v>
      </c>
      <c r="D78" s="30">
        <f>'Rolling Forecast'!M14</f>
        <v>0.21999999999999989</v>
      </c>
    </row>
    <row r="79" spans="2:18" ht="15.75" customHeight="1" x14ac:dyDescent="0.15">
      <c r="B79" s="35">
        <f>'Budget VS Forecast'!M4</f>
        <v>46508</v>
      </c>
      <c r="C79" s="30">
        <f>'Monthly Budget'!P13</f>
        <v>0.22899999999999993</v>
      </c>
      <c r="D79" s="30">
        <f>'Rolling Forecast'!N14</f>
        <v>0.22000000000000006</v>
      </c>
    </row>
    <row r="80" spans="2:18" ht="15.75" customHeight="1" x14ac:dyDescent="0.15">
      <c r="B80" s="35">
        <f>'Budget VS Forecast'!N4</f>
        <v>46539</v>
      </c>
      <c r="C80" s="30">
        <f>'Monthly Budget'!Q13</f>
        <v>0.22900000000000001</v>
      </c>
      <c r="D80" s="30">
        <f>'Rolling Forecast'!O14</f>
        <v>0.22</v>
      </c>
    </row>
    <row r="81" spans="2:18" ht="15.75" customHeight="1" x14ac:dyDescent="0.15"/>
    <row r="82" spans="2:18" ht="15.75" customHeight="1" x14ac:dyDescent="0.15"/>
    <row r="83" spans="2:18" ht="21.75" customHeight="1" x14ac:dyDescent="0.15">
      <c r="B83" s="3" t="s">
        <v>87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2:18" ht="15.75" customHeight="1" x14ac:dyDescent="0.15"/>
    <row r="85" spans="2:18" ht="18" customHeight="1" x14ac:dyDescent="0.15">
      <c r="B85" s="1" t="s">
        <v>88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2:18" ht="15.75" customHeight="1" x14ac:dyDescent="0.15"/>
    <row r="87" spans="2:18" ht="15.75" customHeight="1" x14ac:dyDescent="0.15">
      <c r="B87" s="27" t="s">
        <v>53</v>
      </c>
      <c r="C87" s="27" t="s">
        <v>11</v>
      </c>
      <c r="D87" s="27" t="s">
        <v>12</v>
      </c>
      <c r="E87" s="27" t="s">
        <v>56</v>
      </c>
    </row>
    <row r="88" spans="2:18" ht="15.75" customHeight="1" x14ac:dyDescent="0.15">
      <c r="B88" s="35">
        <f>'Budget VS Forecast'!C4</f>
        <v>46204</v>
      </c>
      <c r="C88" s="29">
        <f>'Budget VS Forecast'!C55</f>
        <v>310.1849493350399</v>
      </c>
      <c r="D88" s="29">
        <f>'Budget VS Forecast'!C56</f>
        <v>295.05071765735994</v>
      </c>
      <c r="E88" s="30">
        <f>'Budget VS Forecast'!C58</f>
        <v>-4.8790992954764655E-2</v>
      </c>
    </row>
    <row r="89" spans="2:18" ht="15.75" customHeight="1" x14ac:dyDescent="0.15">
      <c r="B89" s="35">
        <f>'Budget VS Forecast'!D4</f>
        <v>46235</v>
      </c>
      <c r="C89" s="29">
        <f>'Budget VS Forecast'!D55</f>
        <v>289.71824897664004</v>
      </c>
      <c r="D89" s="29">
        <f>'Budget VS Forecast'!D56</f>
        <v>285.52262533775996</v>
      </c>
      <c r="E89" s="30">
        <f>'Budget VS Forecast'!D58</f>
        <v>-1.448173752844396E-2</v>
      </c>
    </row>
    <row r="90" spans="2:18" ht="15.75" customHeight="1" x14ac:dyDescent="0.15">
      <c r="B90" s="35">
        <f>'Budget VS Forecast'!E4</f>
        <v>46266</v>
      </c>
      <c r="C90" s="29">
        <f>'Budget VS Forecast'!E55</f>
        <v>306.86973869951998</v>
      </c>
      <c r="D90" s="29">
        <f>'Budget VS Forecast'!E56</f>
        <v>303.94343987568016</v>
      </c>
      <c r="E90" s="30">
        <f>'Budget VS Forecast'!E58</f>
        <v>-9.5359641398371827E-3</v>
      </c>
    </row>
    <row r="91" spans="2:18" ht="15.75" customHeight="1" x14ac:dyDescent="0.15">
      <c r="B91" s="35">
        <f>'Budget VS Forecast'!F4</f>
        <v>46296</v>
      </c>
      <c r="C91" s="29">
        <f>'Budget VS Forecast'!F55</f>
        <v>351.13527588863985</v>
      </c>
      <c r="D91" s="29">
        <f>'Budget VS Forecast'!F56</f>
        <v>331.57466168256013</v>
      </c>
      <c r="E91" s="30">
        <f>'Budget VS Forecast'!F58</f>
        <v>-5.5706776132293911E-2</v>
      </c>
    </row>
    <row r="92" spans="2:18" ht="15.75" customHeight="1" x14ac:dyDescent="0.15">
      <c r="B92" s="35">
        <f>'Budget VS Forecast'!G4</f>
        <v>46327</v>
      </c>
      <c r="C92" s="29">
        <f>'Budget VS Forecast'!G55</f>
        <v>293.01637787136002</v>
      </c>
      <c r="D92" s="29">
        <f>'Budget VS Forecast'!G56</f>
        <v>288.70971814763999</v>
      </c>
      <c r="E92" s="30">
        <f>'Budget VS Forecast'!G58</f>
        <v>-1.4697675792070366E-2</v>
      </c>
    </row>
    <row r="93" spans="2:18" ht="15.75" customHeight="1" x14ac:dyDescent="0.15">
      <c r="B93" s="35">
        <f>'Budget VS Forecast'!H4</f>
        <v>46357</v>
      </c>
      <c r="C93" s="29">
        <f>'Budget VS Forecast'!H55</f>
        <v>310.42955870208004</v>
      </c>
      <c r="D93" s="29">
        <f>'Budget VS Forecast'!H56</f>
        <v>307.33615157652014</v>
      </c>
      <c r="E93" s="30">
        <f>'Budget VS Forecast'!H58</f>
        <v>-9.9649245339057946E-3</v>
      </c>
    </row>
    <row r="94" spans="2:18" ht="15.75" customHeight="1" x14ac:dyDescent="0.15">
      <c r="B94" s="35">
        <f>'Budget VS Forecast'!I4</f>
        <v>46388</v>
      </c>
      <c r="C94" s="29">
        <f>'Budget VS Forecast'!I55</f>
        <v>342.71861692416013</v>
      </c>
      <c r="D94" s="29">
        <f>'Budget VS Forecast'!I56</f>
        <v>335.27580171984016</v>
      </c>
      <c r="E94" s="30">
        <f>'Budget VS Forecast'!I58</f>
        <v>-2.1716985412458593E-2</v>
      </c>
    </row>
    <row r="95" spans="2:18" ht="15.75" customHeight="1" x14ac:dyDescent="0.15">
      <c r="B95" s="35">
        <f>'Budget VS Forecast'!J4</f>
        <v>46419</v>
      </c>
      <c r="C95" s="29">
        <f>'Budget VS Forecast'!J55</f>
        <v>348.92518674816006</v>
      </c>
      <c r="D95" s="29">
        <f>'Budget VS Forecast'!J56</f>
        <v>343.78873764714012</v>
      </c>
      <c r="E95" s="30">
        <f>'Budget VS Forecast'!J58</f>
        <v>-1.4720774813906493E-2</v>
      </c>
    </row>
    <row r="96" spans="2:18" ht="15.75" customHeight="1" x14ac:dyDescent="0.15">
      <c r="B96" s="35">
        <f>'Budget VS Forecast'!K4</f>
        <v>46447</v>
      </c>
      <c r="C96" s="29">
        <f>'Budget VS Forecast'!K55</f>
        <v>369.66176765568002</v>
      </c>
      <c r="D96" s="29">
        <f>'Budget VS Forecast'!K56</f>
        <v>365.96865620501995</v>
      </c>
      <c r="E96" s="30">
        <f>'Budget VS Forecast'!K58</f>
        <v>-9.990515043200256E-3</v>
      </c>
    </row>
    <row r="97" spans="2:17" ht="15.75" customHeight="1" x14ac:dyDescent="0.15">
      <c r="B97" s="35">
        <f>'Budget VS Forecast'!L4</f>
        <v>46478</v>
      </c>
      <c r="C97" s="29">
        <f>'Budget VS Forecast'!L55</f>
        <v>423.13439448575986</v>
      </c>
      <c r="D97" s="29">
        <f>'Budget VS Forecast'!L56</f>
        <v>399.23853404183984</v>
      </c>
      <c r="E97" s="30">
        <f>'Budget VS Forecast'!L58</f>
        <v>-5.6473453246363797E-2</v>
      </c>
    </row>
    <row r="98" spans="2:17" ht="15.75" customHeight="1" x14ac:dyDescent="0.15">
      <c r="B98" s="35">
        <f>'Budget VS Forecast'!M4</f>
        <v>46508</v>
      </c>
      <c r="C98" s="29">
        <f>'Budget VS Forecast'!M55</f>
        <v>329.33397733631989</v>
      </c>
      <c r="D98" s="29">
        <f>'Budget VS Forecast'!M56</f>
        <v>324.4933370458802</v>
      </c>
      <c r="E98" s="30">
        <f>'Budget VS Forecast'!M58</f>
        <v>-1.4698271734945747E-2</v>
      </c>
    </row>
    <row r="99" spans="2:17" ht="15.75" customHeight="1" x14ac:dyDescent="0.15">
      <c r="B99" s="35">
        <f>'Budget VS Forecast'!N4</f>
        <v>46539</v>
      </c>
      <c r="C99" s="29">
        <f>'Budget VS Forecast'!N55</f>
        <v>348.89118149376009</v>
      </c>
      <c r="D99" s="29">
        <f>'Budget VS Forecast'!N56</f>
        <v>345.42839104884013</v>
      </c>
      <c r="E99" s="30">
        <f>'Budget VS Forecast'!N58</f>
        <v>-9.9251303231402896E-3</v>
      </c>
    </row>
    <row r="100" spans="2:17" ht="15.75" customHeight="1" x14ac:dyDescent="0.15"/>
    <row r="101" spans="2:17" ht="22.5" customHeight="1" x14ac:dyDescent="0.15">
      <c r="B101" s="3" t="str">
        <f>"What this shows: forecast PAT for the year is Rs "&amp;TEXT('Variance Analysis'!D26,"#,##0")&amp;" Cr versus a Rs "&amp;TEXT('Variance Analysis'!C26,"#,##0")&amp;" Cr budget ("&amp;TEXT('Variance Analysis'!F26,"+0.0%;-0.0%")&amp;"), tracking the EBITDA shortfall almost unchanged - depreciation, interest and tax are all forecast "&amp;"close to their budgeted ratios, so none of them offset the operating gap."</f>
        <v>What this shows: forecast PAT for the year is Rs 3,926 Cr versus a Rs 4,024 Cr budget (-2.4%), tracking the EBITDA shortfall almost unchanged - depreciation, interest and tax are all forecast close to their budgeted ratios, so none of them offset the operating gap.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</row>
  </sheetData>
  <mergeCells count="21">
    <mergeCell ref="B101:Q101"/>
    <mergeCell ref="B46:R46"/>
    <mergeCell ref="B64:Q64"/>
    <mergeCell ref="B66:R66"/>
    <mergeCell ref="B83:Q83"/>
    <mergeCell ref="B85:R85"/>
    <mergeCell ref="B7:R7"/>
    <mergeCell ref="B8:F8"/>
    <mergeCell ref="B23:Q24"/>
    <mergeCell ref="B25:R25"/>
    <mergeCell ref="B44:Q45"/>
    <mergeCell ref="B4:D4"/>
    <mergeCell ref="F4:H4"/>
    <mergeCell ref="J4:L4"/>
    <mergeCell ref="N4:P4"/>
    <mergeCell ref="B6:Q6"/>
    <mergeCell ref="B2:R2"/>
    <mergeCell ref="B3:D3"/>
    <mergeCell ref="F3:H3"/>
    <mergeCell ref="J3:L3"/>
    <mergeCell ref="N3:P3"/>
  </mergeCells>
  <conditionalFormatting sqref="F10:F21">
    <cfRule type="cellIs" dxfId="2" priority="2" operator="greaterThanOrEqual">
      <formula>0</formula>
    </cfRule>
    <cfRule type="cellIs" dxfId="1" priority="3" operator="lessThan">
      <formula>0</formula>
    </cfRule>
  </conditionalFormatting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</sheetPr>
  <dimension ref="A21:K100"/>
  <sheetViews>
    <sheetView zoomScaleNormal="100" workbookViewId="0"/>
  </sheetViews>
  <sheetFormatPr defaultColWidth="14.46484375" defaultRowHeight="13.5" x14ac:dyDescent="0.15"/>
  <cols>
    <col min="1" max="11" width="8.703125" style="15" customWidth="1"/>
  </cols>
  <sheetData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F100"/>
  <sheetViews>
    <sheetView showGridLines="0" zoomScaleNormal="100" workbookViewId="0"/>
  </sheetViews>
  <sheetFormatPr defaultColWidth="14.46484375" defaultRowHeight="13.5" x14ac:dyDescent="0.15"/>
  <cols>
    <col min="1" max="1" width="1.9609375" style="15" customWidth="1"/>
    <col min="2" max="2" width="40.82421875" style="15" customWidth="1"/>
    <col min="3" max="32" width="10.54296875" style="15" customWidth="1"/>
  </cols>
  <sheetData>
    <row r="2" spans="2:32" ht="15" customHeight="1" x14ac:dyDescent="0.2">
      <c r="B2" s="120" t="str">
        <f>"Derived Monthly Actuals  -"&amp;'Data Sheet'!B1</f>
        <v>Derived Monthly Actuals  -NESTLE INDIA LTD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</row>
    <row r="3" spans="2:32" ht="15" customHeight="1" x14ac:dyDescent="0.15">
      <c r="B3" s="121" t="s">
        <v>89</v>
      </c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1"/>
    </row>
    <row r="5" spans="2:32" ht="15" customHeight="1" x14ac:dyDescent="0.2">
      <c r="B5" s="38" t="s">
        <v>53</v>
      </c>
      <c r="C5" s="39">
        <v>45292</v>
      </c>
      <c r="D5" s="39">
        <v>45323</v>
      </c>
      <c r="E5" s="39">
        <v>45352</v>
      </c>
      <c r="F5" s="39">
        <v>45383</v>
      </c>
      <c r="G5" s="39">
        <v>45413</v>
      </c>
      <c r="H5" s="39">
        <v>45444</v>
      </c>
      <c r="I5" s="39">
        <v>45474</v>
      </c>
      <c r="J5" s="39">
        <v>45505</v>
      </c>
      <c r="K5" s="39">
        <v>45536</v>
      </c>
      <c r="L5" s="39">
        <v>45566</v>
      </c>
      <c r="M5" s="39">
        <v>45597</v>
      </c>
      <c r="N5" s="39">
        <v>45627</v>
      </c>
      <c r="O5" s="39">
        <v>45658</v>
      </c>
      <c r="P5" s="39">
        <v>45689</v>
      </c>
      <c r="Q5" s="39">
        <v>45717</v>
      </c>
      <c r="R5" s="39">
        <v>45748</v>
      </c>
      <c r="S5" s="39">
        <v>45778</v>
      </c>
      <c r="T5" s="39">
        <v>45809</v>
      </c>
      <c r="U5" s="39">
        <v>45839</v>
      </c>
      <c r="V5" s="39">
        <v>45870</v>
      </c>
      <c r="W5" s="39">
        <v>45901</v>
      </c>
      <c r="X5" s="39">
        <v>45931</v>
      </c>
      <c r="Y5" s="39">
        <v>45962</v>
      </c>
      <c r="Z5" s="39">
        <v>45992</v>
      </c>
      <c r="AA5" s="39">
        <v>46023</v>
      </c>
      <c r="AB5" s="39">
        <v>46054</v>
      </c>
      <c r="AC5" s="39">
        <v>46082</v>
      </c>
      <c r="AD5" s="39">
        <v>46113</v>
      </c>
      <c r="AE5" s="39">
        <v>46143</v>
      </c>
      <c r="AF5" s="39">
        <v>46174</v>
      </c>
    </row>
    <row r="6" spans="2:32" ht="15" customHeight="1" x14ac:dyDescent="0.15">
      <c r="B6" s="15" t="s">
        <v>90</v>
      </c>
      <c r="C6" s="15" t="s">
        <v>91</v>
      </c>
      <c r="D6" s="15" t="s">
        <v>91</v>
      </c>
      <c r="E6" s="15" t="s">
        <v>91</v>
      </c>
      <c r="F6" s="15" t="s">
        <v>92</v>
      </c>
      <c r="G6" s="15" t="s">
        <v>92</v>
      </c>
      <c r="H6" s="15" t="s">
        <v>92</v>
      </c>
      <c r="I6" s="15" t="s">
        <v>93</v>
      </c>
      <c r="J6" s="15" t="s">
        <v>93</v>
      </c>
      <c r="K6" s="15" t="s">
        <v>93</v>
      </c>
      <c r="L6" s="15" t="s">
        <v>94</v>
      </c>
      <c r="M6" s="15" t="s">
        <v>94</v>
      </c>
      <c r="N6" s="15" t="s">
        <v>94</v>
      </c>
      <c r="O6" s="15" t="s">
        <v>95</v>
      </c>
      <c r="P6" s="15" t="s">
        <v>95</v>
      </c>
      <c r="Q6" s="15" t="s">
        <v>95</v>
      </c>
      <c r="R6" s="15" t="s">
        <v>96</v>
      </c>
      <c r="S6" s="15" t="s">
        <v>96</v>
      </c>
      <c r="T6" s="15" t="s">
        <v>96</v>
      </c>
      <c r="U6" s="15" t="s">
        <v>97</v>
      </c>
      <c r="V6" s="15" t="s">
        <v>97</v>
      </c>
      <c r="W6" s="15" t="s">
        <v>97</v>
      </c>
      <c r="X6" s="15" t="s">
        <v>98</v>
      </c>
      <c r="Y6" s="15" t="s">
        <v>98</v>
      </c>
      <c r="Z6" s="15" t="s">
        <v>98</v>
      </c>
      <c r="AA6" s="15" t="s">
        <v>99</v>
      </c>
      <c r="AB6" s="15" t="s">
        <v>99</v>
      </c>
      <c r="AC6" s="15" t="s">
        <v>99</v>
      </c>
      <c r="AD6" s="15" t="s">
        <v>100</v>
      </c>
      <c r="AE6" s="15" t="s">
        <v>100</v>
      </c>
      <c r="AF6" s="15" t="s">
        <v>100</v>
      </c>
    </row>
    <row r="8" spans="2:32" ht="15" customHeight="1" x14ac:dyDescent="0.2">
      <c r="B8" s="40" t="s">
        <v>101</v>
      </c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</row>
    <row r="9" spans="2:32" ht="15" customHeight="1" x14ac:dyDescent="0.2">
      <c r="B9" s="25" t="s">
        <v>36</v>
      </c>
      <c r="C9" s="41">
        <f>'Data Sheet'!B42*Assumptions!$E$4</f>
        <v>1632.9529</v>
      </c>
      <c r="D9" s="41">
        <f>'Data Sheet'!B42*Assumptions!$E$5</f>
        <v>1738.3047000000001</v>
      </c>
      <c r="E9" s="41">
        <f>'Data Sheet'!B42*Assumptions!$E$6</f>
        <v>1896.3324</v>
      </c>
      <c r="F9" s="41">
        <f>'Data Sheet'!C42*Assumptions!$E$4</f>
        <v>1492.3244999999999</v>
      </c>
      <c r="G9" s="41">
        <f>'Data Sheet'!C42*Assumptions!$E$5</f>
        <v>1588.6034999999999</v>
      </c>
      <c r="H9" s="41">
        <f>'Data Sheet'!C42*Assumptions!$E$6</f>
        <v>1733.0219999999999</v>
      </c>
      <c r="I9" s="41">
        <f>'Data Sheet'!D42*Assumptions!$E$4</f>
        <v>1582.24</v>
      </c>
      <c r="J9" s="41">
        <f>'Data Sheet'!D42*Assumptions!$E$5</f>
        <v>1684.3200000000002</v>
      </c>
      <c r="K9" s="41">
        <f>'Data Sheet'!D42*Assumptions!$E$6</f>
        <v>1837.4399999999998</v>
      </c>
      <c r="L9" s="41">
        <f>'Data Sheet'!E42*Assumptions!$E$4</f>
        <v>1481.7162999999998</v>
      </c>
      <c r="M9" s="41">
        <f>'Data Sheet'!E42*Assumptions!$E$5</f>
        <v>1577.3108999999999</v>
      </c>
      <c r="N9" s="41">
        <f>'Data Sheet'!E42*Assumptions!$E$6</f>
        <v>1720.7027999999998</v>
      </c>
      <c r="O9" s="41">
        <f>'Data Sheet'!F42*Assumptions!$E$4</f>
        <v>1706.2028</v>
      </c>
      <c r="P9" s="41">
        <f>'Data Sheet'!F42*Assumptions!$E$5</f>
        <v>1816.2804000000001</v>
      </c>
      <c r="Q9" s="41">
        <f>'Data Sheet'!F42*Assumptions!$E$6</f>
        <v>1981.3968</v>
      </c>
      <c r="R9" s="41">
        <f>'Data Sheet'!G42*Assumptions!$E$4</f>
        <v>1579.8096</v>
      </c>
      <c r="S9" s="41">
        <f>'Data Sheet'!G42*Assumptions!$E$5</f>
        <v>1681.7328</v>
      </c>
      <c r="T9" s="41">
        <f>'Data Sheet'!G42*Assumptions!$E$6</f>
        <v>1834.6175999999998</v>
      </c>
      <c r="U9" s="41">
        <f>'Data Sheet'!H42*Assumptions!$E$4</f>
        <v>1749.5191</v>
      </c>
      <c r="V9" s="41">
        <f>'Data Sheet'!H42*Assumptions!$E$5</f>
        <v>1862.3913</v>
      </c>
      <c r="W9" s="41">
        <f>'Data Sheet'!H42*Assumptions!$E$6</f>
        <v>2031.6995999999999</v>
      </c>
      <c r="X9" s="41">
        <f>'Data Sheet'!I42*Assumptions!$E$4</f>
        <v>1756.7824000000001</v>
      </c>
      <c r="Y9" s="41">
        <f>'Data Sheet'!I42*Assumptions!$E$5</f>
        <v>1870.1232</v>
      </c>
      <c r="Z9" s="41">
        <f>'Data Sheet'!I42*Assumptions!$E$6</f>
        <v>2040.1343999999999</v>
      </c>
      <c r="AA9" s="41">
        <f>'Data Sheet'!J42*Assumptions!$E$4</f>
        <v>2091.8148999999999</v>
      </c>
      <c r="AB9" s="41">
        <f>'Data Sheet'!J42*Assumptions!$E$5</f>
        <v>2226.7707</v>
      </c>
      <c r="AC9" s="41">
        <f>'Data Sheet'!J42*Assumptions!$E$6</f>
        <v>2429.2044000000001</v>
      </c>
      <c r="AD9" s="41">
        <f>'Data Sheet'!K42*Assumptions!$E$4</f>
        <v>1977.2358000000002</v>
      </c>
      <c r="AE9" s="41">
        <f>'Data Sheet'!K42*Assumptions!$E$5</f>
        <v>2104.7994000000003</v>
      </c>
      <c r="AF9" s="41">
        <f>'Data Sheet'!K42*Assumptions!$E$6</f>
        <v>2296.1448</v>
      </c>
    </row>
    <row r="10" spans="2:32" ht="15" customHeight="1" x14ac:dyDescent="0.2">
      <c r="B10" s="25" t="s">
        <v>102</v>
      </c>
      <c r="C10" s="41">
        <f>'Data Sheet'!B43*Assumptions!$E$4</f>
        <v>1214.4374</v>
      </c>
      <c r="D10" s="41">
        <f>'Data Sheet'!B43*Assumptions!$E$5</f>
        <v>1292.7882</v>
      </c>
      <c r="E10" s="41">
        <f>'Data Sheet'!B43*Assumptions!$E$6</f>
        <v>1410.3144</v>
      </c>
      <c r="F10" s="41">
        <f>'Data Sheet'!C43*Assumptions!$E$4</f>
        <v>1146.8822</v>
      </c>
      <c r="G10" s="41">
        <f>'Data Sheet'!C43*Assumptions!$E$5</f>
        <v>1220.8746000000001</v>
      </c>
      <c r="H10" s="41">
        <f>'Data Sheet'!C43*Assumptions!$E$6</f>
        <v>1331.8632</v>
      </c>
      <c r="I10" s="41">
        <f>'Data Sheet'!D43*Assumptions!$E$4</f>
        <v>1220.2437</v>
      </c>
      <c r="J10" s="41">
        <f>'Data Sheet'!D43*Assumptions!$E$5</f>
        <v>1298.9691</v>
      </c>
      <c r="K10" s="41">
        <f>'Data Sheet'!D43*Assumptions!$E$6</f>
        <v>1417.0572</v>
      </c>
      <c r="L10" s="41">
        <f>'Data Sheet'!E43*Assumptions!$E$4</f>
        <v>1139.8824</v>
      </c>
      <c r="M10" s="41">
        <f>'Data Sheet'!E43*Assumptions!$E$5</f>
        <v>1213.4232</v>
      </c>
      <c r="N10" s="41">
        <f>'Data Sheet'!E43*Assumptions!$E$6</f>
        <v>1323.7344000000001</v>
      </c>
      <c r="O10" s="41">
        <f>'Data Sheet'!F43*Assumptions!$E$4</f>
        <v>1275.8298</v>
      </c>
      <c r="P10" s="41">
        <f>'Data Sheet'!F43*Assumptions!$E$5</f>
        <v>1358.1414</v>
      </c>
      <c r="Q10" s="41">
        <f>'Data Sheet'!F43*Assumptions!$E$6</f>
        <v>1481.6088</v>
      </c>
      <c r="R10" s="41">
        <f>'Data Sheet'!G43*Assumptions!$E$4</f>
        <v>1238.7693000000002</v>
      </c>
      <c r="S10" s="41">
        <f>'Data Sheet'!G43*Assumptions!$E$5</f>
        <v>1318.6899000000001</v>
      </c>
      <c r="T10" s="41">
        <f>'Data Sheet'!G43*Assumptions!$E$6</f>
        <v>1438.5708</v>
      </c>
      <c r="U10" s="41">
        <f>'Data Sheet'!H43*Assumptions!$E$4</f>
        <v>1366.1607000000001</v>
      </c>
      <c r="V10" s="41">
        <f>'Data Sheet'!H43*Assumptions!$E$5</f>
        <v>1454.3001000000002</v>
      </c>
      <c r="W10" s="41">
        <f>'Data Sheet'!H43*Assumptions!$E$6</f>
        <v>1586.5092</v>
      </c>
      <c r="X10" s="41">
        <f>'Data Sheet'!I43*Assumptions!$E$4</f>
        <v>1384.4879000000001</v>
      </c>
      <c r="Y10" s="41">
        <f>'Data Sheet'!I43*Assumptions!$E$5</f>
        <v>1473.8097</v>
      </c>
      <c r="Z10" s="41">
        <f>'Data Sheet'!I43*Assumptions!$E$6</f>
        <v>1607.7924</v>
      </c>
      <c r="AA10" s="41">
        <f>'Data Sheet'!J43*Assumptions!$E$4</f>
        <v>1542.6188999999999</v>
      </c>
      <c r="AB10" s="41">
        <f>'Data Sheet'!J43*Assumptions!$E$5</f>
        <v>1642.1426999999999</v>
      </c>
      <c r="AC10" s="41">
        <f>'Data Sheet'!J43*Assumptions!$E$6</f>
        <v>1791.4283999999998</v>
      </c>
      <c r="AD10" s="41">
        <f>'Data Sheet'!K43*Assumptions!$E$4</f>
        <v>1500.4155000000001</v>
      </c>
      <c r="AE10" s="41">
        <f>'Data Sheet'!K43*Assumptions!$E$5</f>
        <v>1597.2165000000002</v>
      </c>
      <c r="AF10" s="41">
        <f>'Data Sheet'!K43*Assumptions!$E$6</f>
        <v>1742.4179999999999</v>
      </c>
    </row>
    <row r="11" spans="2:32" ht="15" customHeight="1" x14ac:dyDescent="0.2">
      <c r="B11" s="25" t="s">
        <v>103</v>
      </c>
      <c r="C11" s="42">
        <f>C10*Assumptions!$E$29</f>
        <v>601.14651300000003</v>
      </c>
      <c r="D11" s="42">
        <f>D10*Assumptions!$E$29</f>
        <v>639.930159</v>
      </c>
      <c r="E11" s="42">
        <f>E10*Assumptions!$E$29</f>
        <v>698.10562800000002</v>
      </c>
      <c r="F11" s="42">
        <f>F10*Assumptions!$E$29</f>
        <v>567.70668899999998</v>
      </c>
      <c r="G11" s="42">
        <f>G10*Assumptions!$E$29</f>
        <v>604.33292700000004</v>
      </c>
      <c r="H11" s="42">
        <f>H10*Assumptions!$E$29</f>
        <v>659.27228400000001</v>
      </c>
      <c r="I11" s="42">
        <f>I10*Assumptions!$E$29</f>
        <v>604.02063150000004</v>
      </c>
      <c r="J11" s="42">
        <f>J10*Assumptions!$E$29</f>
        <v>642.98970450000002</v>
      </c>
      <c r="K11" s="42">
        <f>K10*Assumptions!$E$29</f>
        <v>701.44331399999999</v>
      </c>
      <c r="L11" s="42">
        <f>L10*Assumptions!$E$29</f>
        <v>564.24178799999993</v>
      </c>
      <c r="M11" s="42">
        <f>M10*Assumptions!$E$29</f>
        <v>600.64448399999992</v>
      </c>
      <c r="N11" s="42">
        <f>N10*Assumptions!$E$29</f>
        <v>655.24852799999996</v>
      </c>
      <c r="O11" s="42">
        <f>O10*Assumptions!$E$29</f>
        <v>631.535751</v>
      </c>
      <c r="P11" s="42">
        <f>P10*Assumptions!$E$29</f>
        <v>672.27999299999999</v>
      </c>
      <c r="Q11" s="42">
        <f>Q10*Assumptions!$E$29</f>
        <v>733.39635599999997</v>
      </c>
      <c r="R11" s="42">
        <f>R10*Assumptions!$E$29</f>
        <v>613.19080350000013</v>
      </c>
      <c r="S11" s="42">
        <f>S10*Assumptions!$E$29</f>
        <v>652.75150050000002</v>
      </c>
      <c r="T11" s="42">
        <f>T10*Assumptions!$E$29</f>
        <v>712.09254599999997</v>
      </c>
      <c r="U11" s="42">
        <f>U10*Assumptions!$E$29</f>
        <v>676.24954650000006</v>
      </c>
      <c r="V11" s="42">
        <f>V10*Assumptions!$E$29</f>
        <v>719.87854950000008</v>
      </c>
      <c r="W11" s="42">
        <f>W10*Assumptions!$E$29</f>
        <v>785.32205399999998</v>
      </c>
      <c r="X11" s="42">
        <f>X10*Assumptions!$E$29</f>
        <v>685.32151050000004</v>
      </c>
      <c r="Y11" s="42">
        <f>Y10*Assumptions!$E$29</f>
        <v>729.53580150000005</v>
      </c>
      <c r="Z11" s="42">
        <f>Z10*Assumptions!$E$29</f>
        <v>795.85723800000005</v>
      </c>
      <c r="AA11" s="42">
        <f>AA10*Assumptions!$E$29</f>
        <v>763.59635549999996</v>
      </c>
      <c r="AB11" s="42">
        <f>AB10*Assumptions!$E$29</f>
        <v>812.86063649999994</v>
      </c>
      <c r="AC11" s="42">
        <f>AC10*Assumptions!$E$29</f>
        <v>886.75705799999992</v>
      </c>
      <c r="AD11" s="42">
        <f>AD10*Assumptions!$E$29</f>
        <v>742.70567249999999</v>
      </c>
      <c r="AE11" s="42">
        <f>AE10*Assumptions!$E$29</f>
        <v>790.62216750000016</v>
      </c>
      <c r="AF11" s="42">
        <f>AF10*Assumptions!$E$29</f>
        <v>862.49690999999996</v>
      </c>
    </row>
    <row r="12" spans="2:32" ht="15" customHeight="1" x14ac:dyDescent="0.2">
      <c r="B12" s="25" t="s">
        <v>104</v>
      </c>
      <c r="C12" s="42">
        <f>Assumptions!$E$30*C10</f>
        <v>160.30573680000001</v>
      </c>
      <c r="D12" s="42">
        <f>Assumptions!$E$30*D10</f>
        <v>170.64804240000001</v>
      </c>
      <c r="E12" s="42">
        <f>Assumptions!$E$30*E10</f>
        <v>186.1615008</v>
      </c>
      <c r="F12" s="42">
        <f>Assumptions!$E$30*F10</f>
        <v>151.38845040000001</v>
      </c>
      <c r="G12" s="42">
        <f>Assumptions!$E$30*G10</f>
        <v>161.15544720000003</v>
      </c>
      <c r="H12" s="42">
        <f>Assumptions!$E$30*H10</f>
        <v>175.80594240000002</v>
      </c>
      <c r="I12" s="42">
        <f>Assumptions!$E$30*I10</f>
        <v>161.07216840000001</v>
      </c>
      <c r="J12" s="42">
        <f>Assumptions!$E$30*J10</f>
        <v>171.46392120000002</v>
      </c>
      <c r="K12" s="42">
        <f>Assumptions!$E$30*K10</f>
        <v>187.0515504</v>
      </c>
      <c r="L12" s="42">
        <f>Assumptions!$E$30*L10</f>
        <v>150.4644768</v>
      </c>
      <c r="M12" s="42">
        <f>Assumptions!$E$30*M10</f>
        <v>160.17186240000001</v>
      </c>
      <c r="N12" s="42">
        <f>Assumptions!$E$30*N10</f>
        <v>174.73294080000002</v>
      </c>
      <c r="O12" s="42">
        <f>Assumptions!$E$30*O10</f>
        <v>168.4095336</v>
      </c>
      <c r="P12" s="42">
        <f>Assumptions!$E$30*P10</f>
        <v>179.27466480000001</v>
      </c>
      <c r="Q12" s="42">
        <f>Assumptions!$E$30*Q10</f>
        <v>195.57236159999999</v>
      </c>
      <c r="R12" s="42">
        <f>Assumptions!$E$30*R10</f>
        <v>163.51754760000003</v>
      </c>
      <c r="S12" s="42">
        <f>Assumptions!$E$30*S10</f>
        <v>174.06706680000002</v>
      </c>
      <c r="T12" s="42">
        <f>Assumptions!$E$30*T10</f>
        <v>189.89134559999999</v>
      </c>
      <c r="U12" s="42">
        <f>Assumptions!$E$30*U10</f>
        <v>180.33321240000004</v>
      </c>
      <c r="V12" s="42">
        <f>Assumptions!$E$30*V10</f>
        <v>191.96761320000002</v>
      </c>
      <c r="W12" s="42">
        <f>Assumptions!$E$30*W10</f>
        <v>209.41921440000002</v>
      </c>
      <c r="X12" s="42">
        <f>Assumptions!$E$30*X10</f>
        <v>182.75240280000003</v>
      </c>
      <c r="Y12" s="42">
        <f>Assumptions!$E$30*Y10</f>
        <v>194.5428804</v>
      </c>
      <c r="Z12" s="42">
        <f>Assumptions!$E$30*Z10</f>
        <v>212.22859680000002</v>
      </c>
      <c r="AA12" s="42">
        <f>Assumptions!$E$30*AA10</f>
        <v>203.62569479999999</v>
      </c>
      <c r="AB12" s="42">
        <f>Assumptions!$E$30*AB10</f>
        <v>216.7628364</v>
      </c>
      <c r="AC12" s="42">
        <f>Assumptions!$E$30*AC10</f>
        <v>236.46854879999998</v>
      </c>
      <c r="AD12" s="42">
        <f>Assumptions!$E$30*AD10</f>
        <v>198.05484600000003</v>
      </c>
      <c r="AE12" s="42">
        <f>Assumptions!$E$30*AE10</f>
        <v>210.83257800000004</v>
      </c>
      <c r="AF12" s="42">
        <f>Assumptions!$E$30*AF10</f>
        <v>229.99917600000001</v>
      </c>
    </row>
    <row r="13" spans="2:32" ht="15" customHeight="1" x14ac:dyDescent="0.2">
      <c r="B13" s="25" t="s">
        <v>105</v>
      </c>
      <c r="C13" s="42">
        <f>C10*Assumptions!$E$31</f>
        <v>452.98515020000002</v>
      </c>
      <c r="D13" s="42">
        <f>D10*Assumptions!$E$31</f>
        <v>482.20999860000001</v>
      </c>
      <c r="E13" s="42">
        <f>E10*Assumptions!$E$31</f>
        <v>526.04727119999995</v>
      </c>
      <c r="F13" s="42">
        <f>F10*Assumptions!$E$31</f>
        <v>427.78706060000002</v>
      </c>
      <c r="G13" s="42">
        <f>G10*Assumptions!$E$31</f>
        <v>455.38622580000003</v>
      </c>
      <c r="H13" s="42">
        <f>H10*Assumptions!$E$31</f>
        <v>496.7849736</v>
      </c>
      <c r="I13" s="42">
        <f>I10*Assumptions!$E$31</f>
        <v>455.1509001</v>
      </c>
      <c r="J13" s="42">
        <f>J10*Assumptions!$E$31</f>
        <v>484.51547429999999</v>
      </c>
      <c r="K13" s="42">
        <f>K10*Assumptions!$E$31</f>
        <v>528.56233559999998</v>
      </c>
      <c r="L13" s="42">
        <f>L10*Assumptions!$E$31</f>
        <v>425.17613519999998</v>
      </c>
      <c r="M13" s="42">
        <f>M10*Assumptions!$E$31</f>
        <v>452.60685359999997</v>
      </c>
      <c r="N13" s="42">
        <f>N10*Assumptions!$E$31</f>
        <v>493.75293120000003</v>
      </c>
      <c r="O13" s="42">
        <f>O10*Assumptions!$E$31</f>
        <v>475.8845154</v>
      </c>
      <c r="P13" s="42">
        <f>P10*Assumptions!$E$31</f>
        <v>506.5867422</v>
      </c>
      <c r="Q13" s="42">
        <f>Q10*Assumptions!$E$31</f>
        <v>552.64008239999998</v>
      </c>
      <c r="R13" s="42">
        <f>R10*Assumptions!$E$31</f>
        <v>462.06094890000008</v>
      </c>
      <c r="S13" s="42">
        <f>S10*Assumptions!$E$31</f>
        <v>491.87133270000004</v>
      </c>
      <c r="T13" s="42">
        <f>T10*Assumptions!$E$31</f>
        <v>536.58690839999997</v>
      </c>
      <c r="U13" s="42">
        <f>U10*Assumptions!$E$31</f>
        <v>509.57794110000003</v>
      </c>
      <c r="V13" s="42">
        <f>V10*Assumptions!$E$31</f>
        <v>542.45393730000001</v>
      </c>
      <c r="W13" s="42">
        <f>W10*Assumptions!$E$31</f>
        <v>591.7679316</v>
      </c>
      <c r="X13" s="42">
        <f>X10*Assumptions!$E$31</f>
        <v>516.41398670000001</v>
      </c>
      <c r="Y13" s="42">
        <f>Y10*Assumptions!$E$31</f>
        <v>549.73101810000003</v>
      </c>
      <c r="Z13" s="42">
        <f>Z10*Assumptions!$E$31</f>
        <v>599.7065652</v>
      </c>
      <c r="AA13" s="42">
        <f>AA10*Assumptions!$E$31</f>
        <v>575.39684969999996</v>
      </c>
      <c r="AB13" s="42">
        <f>AB10*Assumptions!$E$31</f>
        <v>612.51922709999997</v>
      </c>
      <c r="AC13" s="42">
        <f>AC10*Assumptions!$E$31</f>
        <v>668.20279319999986</v>
      </c>
      <c r="AD13" s="42">
        <f>AD10*Assumptions!$E$31</f>
        <v>559.65498150000008</v>
      </c>
      <c r="AE13" s="42">
        <f>AE10*Assumptions!$E$31</f>
        <v>595.76175450000005</v>
      </c>
      <c r="AF13" s="42">
        <f>AF10*Assumptions!$E$31</f>
        <v>649.9219139999999</v>
      </c>
    </row>
    <row r="14" spans="2:32" ht="15" customHeight="1" x14ac:dyDescent="0.2">
      <c r="B14" s="38" t="s">
        <v>37</v>
      </c>
      <c r="C14" s="43">
        <f>C9-C10</f>
        <v>418.51549999999997</v>
      </c>
      <c r="D14" s="43">
        <f>D9-D10</f>
        <v>445.51650000000018</v>
      </c>
      <c r="E14" s="43">
        <f>E9-E10</f>
        <v>486.01800000000003</v>
      </c>
      <c r="F14" s="43">
        <f>F9-F10</f>
        <v>345.44229999999993</v>
      </c>
      <c r="G14" s="43">
        <f>G9-G10</f>
        <v>367.72889999999984</v>
      </c>
      <c r="H14" s="43">
        <f>H9-H10</f>
        <v>401.15879999999993</v>
      </c>
      <c r="I14" s="43">
        <f>I9-I10</f>
        <v>361.99630000000002</v>
      </c>
      <c r="J14" s="43">
        <f>J9-J10</f>
        <v>385.35090000000014</v>
      </c>
      <c r="K14" s="43">
        <f>K9-K10</f>
        <v>420.38279999999986</v>
      </c>
      <c r="L14" s="43">
        <f>L9-L10</f>
        <v>341.83389999999986</v>
      </c>
      <c r="M14" s="43">
        <f>M9-M10</f>
        <v>363.8877</v>
      </c>
      <c r="N14" s="43">
        <f>N9-N10</f>
        <v>396.96839999999975</v>
      </c>
      <c r="O14" s="43">
        <f>O9-O10</f>
        <v>430.37300000000005</v>
      </c>
      <c r="P14" s="43">
        <f>P9-P10</f>
        <v>458.13900000000012</v>
      </c>
      <c r="Q14" s="43">
        <f>Q9-Q10</f>
        <v>499.78800000000001</v>
      </c>
      <c r="R14" s="43">
        <f>R9-R10</f>
        <v>341.04029999999989</v>
      </c>
      <c r="S14" s="43">
        <f>S9-S10</f>
        <v>363.04289999999992</v>
      </c>
      <c r="T14" s="43">
        <f>T9-T10</f>
        <v>396.04679999999985</v>
      </c>
      <c r="U14" s="43">
        <f>U9-U10</f>
        <v>383.35839999999985</v>
      </c>
      <c r="V14" s="43">
        <f>V9-V10</f>
        <v>408.09119999999984</v>
      </c>
      <c r="W14" s="43">
        <f>W9-W10</f>
        <v>445.19039999999995</v>
      </c>
      <c r="X14" s="43">
        <f>X9-X10</f>
        <v>372.29449999999997</v>
      </c>
      <c r="Y14" s="43">
        <f>Y9-Y10</f>
        <v>396.31349999999998</v>
      </c>
      <c r="Z14" s="43">
        <f>Z9-Z10</f>
        <v>432.34199999999987</v>
      </c>
      <c r="AA14" s="43">
        <f>AA9-AA10</f>
        <v>549.19599999999991</v>
      </c>
      <c r="AB14" s="43">
        <f>AB9-AB10</f>
        <v>584.62800000000016</v>
      </c>
      <c r="AC14" s="43">
        <f>AC9-AC10</f>
        <v>637.77600000000029</v>
      </c>
      <c r="AD14" s="43">
        <f>AD9-AD10</f>
        <v>476.82030000000009</v>
      </c>
      <c r="AE14" s="43">
        <f>AE9-AE10</f>
        <v>507.58290000000011</v>
      </c>
      <c r="AF14" s="43">
        <f>AF9-AF10</f>
        <v>553.72680000000014</v>
      </c>
    </row>
    <row r="15" spans="2:32" ht="15" customHeight="1" x14ac:dyDescent="0.2">
      <c r="B15" s="44" t="s">
        <v>106</v>
      </c>
      <c r="C15" s="45">
        <f>C14/C9</f>
        <v>0.25629367509620149</v>
      </c>
      <c r="D15" s="45">
        <f>D14/D9</f>
        <v>0.25629367509620155</v>
      </c>
      <c r="E15" s="45">
        <f>E14/E9</f>
        <v>0.25629367509620149</v>
      </c>
      <c r="F15" s="45">
        <f>F14/F9</f>
        <v>0.2314793464826182</v>
      </c>
      <c r="G15" s="45">
        <f>G14/G9</f>
        <v>0.23147934648261814</v>
      </c>
      <c r="H15" s="45">
        <f>H14/H9</f>
        <v>0.2314793464826182</v>
      </c>
      <c r="I15" s="45">
        <f>I14/I9</f>
        <v>0.22878722570532917</v>
      </c>
      <c r="J15" s="45">
        <f>J14/J9</f>
        <v>0.22878722570532922</v>
      </c>
      <c r="K15" s="45">
        <f>K14/K9</f>
        <v>0.22878722570532911</v>
      </c>
      <c r="L15" s="45">
        <f>L14/L9</f>
        <v>0.23070131576469793</v>
      </c>
      <c r="M15" s="45">
        <f>M14/M9</f>
        <v>0.23070131576469802</v>
      </c>
      <c r="N15" s="45">
        <f>N14/N9</f>
        <v>0.23070131576469788</v>
      </c>
      <c r="O15" s="45">
        <f>O14/O9</f>
        <v>0.25224023779588223</v>
      </c>
      <c r="P15" s="45">
        <f>P14/P9</f>
        <v>0.25224023779588223</v>
      </c>
      <c r="Q15" s="45">
        <f>Q14/Q9</f>
        <v>0.25224023779588217</v>
      </c>
      <c r="R15" s="45">
        <f>R14/R9</f>
        <v>0.2158743053593293</v>
      </c>
      <c r="S15" s="45">
        <f>S14/S9</f>
        <v>0.21587430535932933</v>
      </c>
      <c r="T15" s="45">
        <f>T14/T9</f>
        <v>0.2158743053593293</v>
      </c>
      <c r="U15" s="45">
        <f>U14/U9</f>
        <v>0.21912215762605841</v>
      </c>
      <c r="V15" s="45">
        <f>V14/V9</f>
        <v>0.21912215762605841</v>
      </c>
      <c r="W15" s="45">
        <f>W14/W9</f>
        <v>0.21912215762605849</v>
      </c>
      <c r="X15" s="45">
        <f>X14/X9</f>
        <v>0.21191839125892881</v>
      </c>
      <c r="Y15" s="45">
        <f>Y14/Y9</f>
        <v>0.21191839125892881</v>
      </c>
      <c r="Z15" s="45">
        <f>Z14/Z9</f>
        <v>0.21191839125892878</v>
      </c>
      <c r="AA15" s="45">
        <f>AA14/AA9</f>
        <v>0.26254521850857832</v>
      </c>
      <c r="AB15" s="45">
        <f>AB14/AB9</f>
        <v>0.26254521850857843</v>
      </c>
      <c r="AC15" s="45">
        <f>AC14/AC9</f>
        <v>0.26254521850857848</v>
      </c>
      <c r="AD15" s="45">
        <f>AD14/AD9</f>
        <v>0.24115500032924755</v>
      </c>
      <c r="AE15" s="45">
        <f>AE14/AE9</f>
        <v>0.24115500032924755</v>
      </c>
      <c r="AF15" s="45">
        <f>AF14/AF9</f>
        <v>0.24115500032924758</v>
      </c>
    </row>
    <row r="16" spans="2:32" ht="15" customHeight="1" x14ac:dyDescent="0.2">
      <c r="B16" s="25" t="s">
        <v>107</v>
      </c>
      <c r="C16" s="41">
        <f>'Data Sheet'!B44*Assumptions!$E$4</f>
        <v>11.417299999999999</v>
      </c>
      <c r="D16" s="41">
        <f>'Data Sheet'!B44*Assumptions!$E$5</f>
        <v>12.1539</v>
      </c>
      <c r="E16" s="41">
        <f>'Data Sheet'!B44*Assumptions!$E$6</f>
        <v>13.258799999999999</v>
      </c>
      <c r="F16" s="41">
        <f>'Data Sheet'!C44*Assumptions!$E$4</f>
        <v>12.127199999999998</v>
      </c>
      <c r="G16" s="41">
        <f>'Data Sheet'!C44*Assumptions!$E$5</f>
        <v>12.909599999999999</v>
      </c>
      <c r="H16" s="41">
        <f>'Data Sheet'!C44*Assumptions!$E$6</f>
        <v>14.083199999999998</v>
      </c>
      <c r="I16" s="41">
        <f>'Data Sheet'!D44*Assumptions!$E$4</f>
        <v>92.280799999999999</v>
      </c>
      <c r="J16" s="41">
        <f>'Data Sheet'!D44*Assumptions!$E$5</f>
        <v>98.234400000000008</v>
      </c>
      <c r="K16" s="41">
        <f>'Data Sheet'!D44*Assumptions!$E$6</f>
        <v>107.1648</v>
      </c>
      <c r="L16" s="41">
        <f>'Data Sheet'!E44*Assumptions!$E$4</f>
        <v>1.3764000000000001</v>
      </c>
      <c r="M16" s="41">
        <f>'Data Sheet'!E44*Assumptions!$E$5</f>
        <v>1.4652000000000003</v>
      </c>
      <c r="N16" s="41">
        <f>'Data Sheet'!E44*Assumptions!$E$6</f>
        <v>1.5984</v>
      </c>
      <c r="O16" s="41">
        <f>'Data Sheet'!F44*Assumptions!$E$4</f>
        <v>2.8209999999999997</v>
      </c>
      <c r="P16" s="41">
        <f>'Data Sheet'!F44*Assumptions!$E$5</f>
        <v>3.0030000000000001</v>
      </c>
      <c r="Q16" s="41">
        <f>'Data Sheet'!F44*Assumptions!$E$6</f>
        <v>3.2759999999999998</v>
      </c>
      <c r="R16" s="41">
        <f>'Data Sheet'!G44*Assumptions!$E$4</f>
        <v>1.2927</v>
      </c>
      <c r="S16" s="41">
        <f>'Data Sheet'!G44*Assumptions!$E$5</f>
        <v>1.3761000000000001</v>
      </c>
      <c r="T16" s="41">
        <f>'Data Sheet'!G44*Assumptions!$E$6</f>
        <v>1.5011999999999999</v>
      </c>
      <c r="U16" s="41">
        <f>'Data Sheet'!H44*Assumptions!$E$4</f>
        <v>0.50839999999999996</v>
      </c>
      <c r="V16" s="41">
        <f>'Data Sheet'!H44*Assumptions!$E$5</f>
        <v>0.54120000000000001</v>
      </c>
      <c r="W16" s="41">
        <f>'Data Sheet'!H44*Assumptions!$E$6</f>
        <v>0.59039999999999992</v>
      </c>
      <c r="X16" s="41">
        <f>'Data Sheet'!I44*Assumptions!$E$4</f>
        <v>52.631799999999998</v>
      </c>
      <c r="Y16" s="41">
        <f>'Data Sheet'!I44*Assumptions!$E$5</f>
        <v>56.0274</v>
      </c>
      <c r="Z16" s="41">
        <f>'Data Sheet'!I44*Assumptions!$E$6</f>
        <v>61.120799999999996</v>
      </c>
      <c r="AA16" s="41">
        <f>'Data Sheet'!J44*Assumptions!$E$4</f>
        <v>-5.4931999999999999</v>
      </c>
      <c r="AB16" s="41">
        <f>'Data Sheet'!J44*Assumptions!$E$5</f>
        <v>-5.8475999999999999</v>
      </c>
      <c r="AC16" s="41">
        <f>'Data Sheet'!J44*Assumptions!$E$6</f>
        <v>-6.3791999999999991</v>
      </c>
      <c r="AD16" s="41">
        <f>'Data Sheet'!K44*Assumptions!$E$4</f>
        <v>5.0343999999999998</v>
      </c>
      <c r="AE16" s="41">
        <f>'Data Sheet'!K44*Assumptions!$E$5</f>
        <v>5.3591999999999995</v>
      </c>
      <c r="AF16" s="41">
        <f>'Data Sheet'!K44*Assumptions!$E$6</f>
        <v>5.8463999999999992</v>
      </c>
    </row>
    <row r="17" spans="2:32" ht="15" customHeight="1" x14ac:dyDescent="0.2">
      <c r="B17" s="25" t="s">
        <v>108</v>
      </c>
      <c r="C17" s="41">
        <f>'Data Sheet'!B45*Assumptions!$E$4</f>
        <v>34.131</v>
      </c>
      <c r="D17" s="41">
        <f>'Data Sheet'!B45*Assumptions!$E$5</f>
        <v>36.332999999999998</v>
      </c>
      <c r="E17" s="41">
        <f>'Data Sheet'!B45*Assumptions!$E$6</f>
        <v>39.635999999999996</v>
      </c>
      <c r="F17" s="41">
        <f>'Data Sheet'!C45*Assumptions!$E$4</f>
        <v>34.940100000000001</v>
      </c>
      <c r="G17" s="41">
        <f>'Data Sheet'!C45*Assumptions!$E$5</f>
        <v>37.194299999999998</v>
      </c>
      <c r="H17" s="41">
        <f>'Data Sheet'!C45*Assumptions!$E$6</f>
        <v>40.575599999999994</v>
      </c>
      <c r="I17" s="41">
        <f>'Data Sheet'!D45*Assumptions!$E$4</f>
        <v>37.695999999999998</v>
      </c>
      <c r="J17" s="41">
        <f>'Data Sheet'!D45*Assumptions!$E$5</f>
        <v>40.128</v>
      </c>
      <c r="K17" s="41">
        <f>'Data Sheet'!D45*Assumptions!$E$6</f>
        <v>43.775999999999996</v>
      </c>
      <c r="L17" s="41">
        <f>'Data Sheet'!E45*Assumptions!$E$4</f>
        <v>46.5837</v>
      </c>
      <c r="M17" s="41">
        <f>'Data Sheet'!E45*Assumptions!$E$5</f>
        <v>49.589100000000009</v>
      </c>
      <c r="N17" s="41">
        <f>'Data Sheet'!E45*Assumptions!$E$6</f>
        <v>54.097200000000001</v>
      </c>
      <c r="O17" s="41">
        <f>'Data Sheet'!F45*Assumptions!$E$4</f>
        <v>48.1554</v>
      </c>
      <c r="P17" s="41">
        <f>'Data Sheet'!F45*Assumptions!$E$5</f>
        <v>51.2622</v>
      </c>
      <c r="Q17" s="41">
        <f>'Data Sheet'!F45*Assumptions!$E$6</f>
        <v>55.922399999999996</v>
      </c>
      <c r="R17" s="41">
        <f>'Data Sheet'!G45*Assumptions!$E$4</f>
        <v>48.651400000000002</v>
      </c>
      <c r="S17" s="41">
        <f>'Data Sheet'!G45*Assumptions!$E$5</f>
        <v>51.790199999999999</v>
      </c>
      <c r="T17" s="41">
        <f>'Data Sheet'!G45*Assumptions!$E$6</f>
        <v>56.498399999999997</v>
      </c>
      <c r="U17" s="41">
        <f>'Data Sheet'!H45*Assumptions!$E$4</f>
        <v>50.638500000000001</v>
      </c>
      <c r="V17" s="41">
        <f>'Data Sheet'!H45*Assumptions!$E$5</f>
        <v>53.905500000000004</v>
      </c>
      <c r="W17" s="41">
        <f>'Data Sheet'!H45*Assumptions!$E$6</f>
        <v>58.805999999999997</v>
      </c>
      <c r="X17" s="41">
        <f>'Data Sheet'!I45*Assumptions!$E$4</f>
        <v>54.067099999999996</v>
      </c>
      <c r="Y17" s="41">
        <f>'Data Sheet'!I45*Assumptions!$E$5</f>
        <v>57.555300000000003</v>
      </c>
      <c r="Z17" s="41">
        <f>'Data Sheet'!I45*Assumptions!$E$6</f>
        <v>62.787599999999998</v>
      </c>
      <c r="AA17" s="41">
        <f>'Data Sheet'!J45*Assumptions!$E$4</f>
        <v>63.404299999999999</v>
      </c>
      <c r="AB17" s="41">
        <f>'Data Sheet'!J45*Assumptions!$E$5</f>
        <v>67.494900000000001</v>
      </c>
      <c r="AC17" s="41">
        <f>'Data Sheet'!J45*Assumptions!$E$6</f>
        <v>73.630799999999994</v>
      </c>
      <c r="AD17" s="41">
        <f>'Data Sheet'!K45*Assumptions!$E$4</f>
        <v>58.218000000000004</v>
      </c>
      <c r="AE17" s="41">
        <f>'Data Sheet'!K45*Assumptions!$E$5</f>
        <v>61.974000000000004</v>
      </c>
      <c r="AF17" s="41">
        <f>'Data Sheet'!K45*Assumptions!$E$6</f>
        <v>67.608000000000004</v>
      </c>
    </row>
    <row r="18" spans="2:32" ht="15" customHeight="1" x14ac:dyDescent="0.2">
      <c r="B18" s="38" t="s">
        <v>109</v>
      </c>
      <c r="C18" s="43">
        <f>C14-(C17)+C16</f>
        <v>395.80180000000001</v>
      </c>
      <c r="D18" s="43">
        <f>D14-(D17)+D16</f>
        <v>421.33740000000023</v>
      </c>
      <c r="E18" s="43">
        <f>E14-(E17)+E16</f>
        <v>459.64080000000007</v>
      </c>
      <c r="F18" s="43">
        <f>F14-(F17)+F16</f>
        <v>322.62939999999992</v>
      </c>
      <c r="G18" s="43">
        <f>G14-(G17)+G16</f>
        <v>343.44419999999985</v>
      </c>
      <c r="H18" s="43">
        <f>H14-(H17)+H16</f>
        <v>374.6663999999999</v>
      </c>
      <c r="I18" s="43">
        <f>I14-(I17)+I16</f>
        <v>416.58109999999999</v>
      </c>
      <c r="J18" s="43">
        <f>J14-(J17)+J16</f>
        <v>443.45730000000015</v>
      </c>
      <c r="K18" s="43">
        <f>K14-(K17)+K16</f>
        <v>483.77159999999986</v>
      </c>
      <c r="L18" s="43">
        <f>L14-(L17)+L16</f>
        <v>296.62659999999983</v>
      </c>
      <c r="M18" s="43">
        <f>M14-(M17)+M16</f>
        <v>315.76379999999995</v>
      </c>
      <c r="N18" s="43">
        <f>N14-(N17)+N16</f>
        <v>344.46959999999979</v>
      </c>
      <c r="O18" s="43">
        <f>O14-(O17)+O16</f>
        <v>385.03860000000009</v>
      </c>
      <c r="P18" s="43">
        <f>P14-(P17)+P16</f>
        <v>409.8798000000001</v>
      </c>
      <c r="Q18" s="43">
        <f>Q14-(Q17)+Q16</f>
        <v>447.14160000000004</v>
      </c>
      <c r="R18" s="43">
        <f>R14-(R17)+R16</f>
        <v>293.68159999999989</v>
      </c>
      <c r="S18" s="43">
        <f>S14-(S17)+S16</f>
        <v>312.6287999999999</v>
      </c>
      <c r="T18" s="43">
        <f>T14-(T17)+T16</f>
        <v>341.04959999999983</v>
      </c>
      <c r="U18" s="43">
        <f>U14-(U17)+U16</f>
        <v>333.22829999999982</v>
      </c>
      <c r="V18" s="43">
        <f>V14-(V17)+V16</f>
        <v>354.72689999999983</v>
      </c>
      <c r="W18" s="43">
        <f>W14-(W17)+W16</f>
        <v>386.97479999999996</v>
      </c>
      <c r="X18" s="43">
        <f>X14-(X17)+X16</f>
        <v>370.85919999999999</v>
      </c>
      <c r="Y18" s="43">
        <f>Y14-(Y17)+Y16</f>
        <v>394.78559999999999</v>
      </c>
      <c r="Z18" s="43">
        <f>Z14-(Z17)+Z16</f>
        <v>430.67519999999985</v>
      </c>
      <c r="AA18" s="43">
        <f>AA14-(AA17)+AA16</f>
        <v>480.29849999999993</v>
      </c>
      <c r="AB18" s="43">
        <f>AB14-(AB17)+AB16</f>
        <v>511.28550000000013</v>
      </c>
      <c r="AC18" s="43">
        <f>AC14-(AC17)+AC16</f>
        <v>557.7660000000003</v>
      </c>
      <c r="AD18" s="43">
        <f>AD14-(AD17)+AD16</f>
        <v>423.63670000000008</v>
      </c>
      <c r="AE18" s="43">
        <f>AE14-(AE17)+AE16</f>
        <v>450.96810000000011</v>
      </c>
      <c r="AF18" s="43">
        <f>AF14-(AF17)+AF16</f>
        <v>491.96520000000015</v>
      </c>
    </row>
    <row r="19" spans="2:32" ht="15" customHeight="1" x14ac:dyDescent="0.2">
      <c r="B19" s="25" t="s">
        <v>110</v>
      </c>
      <c r="C19" s="41">
        <f>'Data Sheet'!B46*Assumptions!$E$4</f>
        <v>8.1219999999999999</v>
      </c>
      <c r="D19" s="41">
        <f>'Data Sheet'!B46*Assumptions!$E$5</f>
        <v>8.6460000000000008</v>
      </c>
      <c r="E19" s="41">
        <f>'Data Sheet'!B46*Assumptions!$E$6</f>
        <v>9.4319999999999986</v>
      </c>
      <c r="F19" s="41">
        <f>'Data Sheet'!C46*Assumptions!$E$4</f>
        <v>9.8208000000000002</v>
      </c>
      <c r="G19" s="41">
        <f>'Data Sheet'!C46*Assumptions!$E$5</f>
        <v>10.4544</v>
      </c>
      <c r="H19" s="41">
        <f>'Data Sheet'!C46*Assumptions!$E$6</f>
        <v>11.4048</v>
      </c>
      <c r="I19" s="41">
        <f>'Data Sheet'!D46*Assumptions!$E$4</f>
        <v>9.9881999999999991</v>
      </c>
      <c r="J19" s="41">
        <f>'Data Sheet'!D46*Assumptions!$E$5</f>
        <v>10.6326</v>
      </c>
      <c r="K19" s="41">
        <f>'Data Sheet'!D46*Assumptions!$E$6</f>
        <v>11.5992</v>
      </c>
      <c r="L19" s="41">
        <f>'Data Sheet'!E46*Assumptions!$E$4</f>
        <v>10.726000000000001</v>
      </c>
      <c r="M19" s="41">
        <f>'Data Sheet'!E46*Assumptions!$E$5</f>
        <v>11.418000000000001</v>
      </c>
      <c r="N19" s="41">
        <f>'Data Sheet'!E46*Assumptions!$E$6</f>
        <v>12.456</v>
      </c>
      <c r="O19" s="41">
        <f>'Data Sheet'!F46*Assumptions!$E$4</f>
        <v>11.625</v>
      </c>
      <c r="P19" s="41">
        <f>'Data Sheet'!F46*Assumptions!$E$5</f>
        <v>12.375</v>
      </c>
      <c r="Q19" s="41">
        <f>'Data Sheet'!F46*Assumptions!$E$6</f>
        <v>13.5</v>
      </c>
      <c r="R19" s="41">
        <f>'Data Sheet'!G46*Assumptions!$E$4</f>
        <v>14.5359</v>
      </c>
      <c r="S19" s="41">
        <f>'Data Sheet'!G46*Assumptions!$E$5</f>
        <v>15.473700000000001</v>
      </c>
      <c r="T19" s="41">
        <f>'Data Sheet'!G46*Assumptions!$E$6</f>
        <v>16.880399999999998</v>
      </c>
      <c r="U19" s="41">
        <f>'Data Sheet'!H46*Assumptions!$E$4</f>
        <v>14.387099999999998</v>
      </c>
      <c r="V19" s="41">
        <f>'Data Sheet'!H46*Assumptions!$E$5</f>
        <v>15.315299999999999</v>
      </c>
      <c r="W19" s="41">
        <f>'Data Sheet'!H46*Assumptions!$E$6</f>
        <v>16.707599999999999</v>
      </c>
      <c r="X19" s="41">
        <f>'Data Sheet'!I46*Assumptions!$E$4</f>
        <v>8.7575000000000003</v>
      </c>
      <c r="Y19" s="41">
        <f>'Data Sheet'!I46*Assumptions!$E$5</f>
        <v>9.3224999999999998</v>
      </c>
      <c r="Z19" s="41">
        <f>'Data Sheet'!I46*Assumptions!$E$6</f>
        <v>10.17</v>
      </c>
      <c r="AA19" s="41">
        <f>'Data Sheet'!J46*Assumptions!$E$4</f>
        <v>11.3956</v>
      </c>
      <c r="AB19" s="41">
        <f>'Data Sheet'!J46*Assumptions!$E$5</f>
        <v>12.130800000000001</v>
      </c>
      <c r="AC19" s="41">
        <f>'Data Sheet'!J46*Assumptions!$E$6</f>
        <v>13.233599999999999</v>
      </c>
      <c r="AD19" s="41">
        <f>'Data Sheet'!K46*Assumptions!$E$4</f>
        <v>13.075799999999999</v>
      </c>
      <c r="AE19" s="41">
        <f>'Data Sheet'!K46*Assumptions!$E$5</f>
        <v>13.919400000000001</v>
      </c>
      <c r="AF19" s="41">
        <f>'Data Sheet'!K46*Assumptions!$E$6</f>
        <v>15.184799999999999</v>
      </c>
    </row>
    <row r="20" spans="2:32" ht="15" customHeight="1" x14ac:dyDescent="0.2">
      <c r="B20" s="38" t="s">
        <v>111</v>
      </c>
      <c r="C20" s="43">
        <f>C18-C19</f>
        <v>387.6798</v>
      </c>
      <c r="D20" s="43">
        <f>D18-D19</f>
        <v>412.69140000000021</v>
      </c>
      <c r="E20" s="43">
        <f>E18-E19</f>
        <v>450.20880000000005</v>
      </c>
      <c r="F20" s="43">
        <f>F18-F19</f>
        <v>312.8085999999999</v>
      </c>
      <c r="G20" s="43">
        <f>G18-G19</f>
        <v>332.98979999999983</v>
      </c>
      <c r="H20" s="43">
        <f>H18-H19</f>
        <v>363.26159999999987</v>
      </c>
      <c r="I20" s="43">
        <f>I18-I19</f>
        <v>406.59289999999999</v>
      </c>
      <c r="J20" s="43">
        <f>J18-J19</f>
        <v>432.82470000000012</v>
      </c>
      <c r="K20" s="43">
        <f>K18-K19</f>
        <v>472.17239999999987</v>
      </c>
      <c r="L20" s="43">
        <f>L18-L19</f>
        <v>285.90059999999983</v>
      </c>
      <c r="M20" s="43">
        <f>M18-M19</f>
        <v>304.34579999999994</v>
      </c>
      <c r="N20" s="43">
        <f>N18-N19</f>
        <v>332.01359999999977</v>
      </c>
      <c r="O20" s="43">
        <f>O18-O19</f>
        <v>373.41360000000009</v>
      </c>
      <c r="P20" s="43">
        <f>P18-P19</f>
        <v>397.5048000000001</v>
      </c>
      <c r="Q20" s="43">
        <f>Q18-Q19</f>
        <v>433.64160000000004</v>
      </c>
      <c r="R20" s="43">
        <f>R18-R19</f>
        <v>279.14569999999986</v>
      </c>
      <c r="S20" s="43">
        <f>S18-S19</f>
        <v>297.15509999999989</v>
      </c>
      <c r="T20" s="43">
        <f>T18-T19</f>
        <v>324.16919999999982</v>
      </c>
      <c r="U20" s="43">
        <f>U18-U19</f>
        <v>318.84119999999984</v>
      </c>
      <c r="V20" s="43">
        <f>V18-V19</f>
        <v>339.41159999999985</v>
      </c>
      <c r="W20" s="43">
        <f>W18-W19</f>
        <v>370.26719999999995</v>
      </c>
      <c r="X20" s="43">
        <f>X18-X19</f>
        <v>362.10169999999999</v>
      </c>
      <c r="Y20" s="43">
        <f>Y18-Y19</f>
        <v>385.4631</v>
      </c>
      <c r="Z20" s="43">
        <f>Z18-Z19</f>
        <v>420.50519999999983</v>
      </c>
      <c r="AA20" s="43">
        <f>AA18-AA19</f>
        <v>468.90289999999993</v>
      </c>
      <c r="AB20" s="43">
        <f>AB18-AB19</f>
        <v>499.1547000000001</v>
      </c>
      <c r="AC20" s="43">
        <f>AC18-AC19</f>
        <v>544.53240000000028</v>
      </c>
      <c r="AD20" s="43">
        <f>AD18-AD19</f>
        <v>410.56090000000006</v>
      </c>
      <c r="AE20" s="43">
        <f>AE18-AE19</f>
        <v>437.04870000000011</v>
      </c>
      <c r="AF20" s="43">
        <f>AF18-AF19</f>
        <v>476.78040000000016</v>
      </c>
    </row>
    <row r="21" spans="2:32" ht="15.75" customHeight="1" x14ac:dyDescent="0.2">
      <c r="B21" s="25" t="s">
        <v>112</v>
      </c>
      <c r="C21" s="41">
        <f>'Data Sheet'!B48*Assumptions!$E$4</f>
        <v>98.087100000000007</v>
      </c>
      <c r="D21" s="41">
        <f>'Data Sheet'!B48*Assumptions!$E$5</f>
        <v>104.41530000000002</v>
      </c>
      <c r="E21" s="41">
        <f>'Data Sheet'!B48*Assumptions!$E$6</f>
        <v>113.9076</v>
      </c>
      <c r="F21" s="41">
        <f>'Data Sheet'!C48*Assumptions!$E$4</f>
        <v>81.362599999999986</v>
      </c>
      <c r="G21" s="41">
        <f>'Data Sheet'!C48*Assumptions!$E$5</f>
        <v>86.611800000000002</v>
      </c>
      <c r="H21" s="41">
        <f>'Data Sheet'!C48*Assumptions!$E$6</f>
        <v>94.485599999999991</v>
      </c>
      <c r="I21" s="41">
        <f>'Data Sheet'!D48*Assumptions!$E$4</f>
        <v>100.82130000000001</v>
      </c>
      <c r="J21" s="41">
        <f>'Data Sheet'!D48*Assumptions!$E$5</f>
        <v>107.3259</v>
      </c>
      <c r="K21" s="41">
        <f>'Data Sheet'!D48*Assumptions!$E$6</f>
        <v>117.08280000000001</v>
      </c>
      <c r="L21" s="41">
        <f>'Data Sheet'!E48*Assumptions!$E$4</f>
        <v>70.100300000000004</v>
      </c>
      <c r="M21" s="41">
        <f>'Data Sheet'!E48*Assumptions!$E$5</f>
        <v>74.622900000000001</v>
      </c>
      <c r="N21" s="41">
        <f>'Data Sheet'!E48*Assumptions!$E$6</f>
        <v>81.40679999999999</v>
      </c>
      <c r="O21" s="41">
        <f>'Data Sheet'!F48*Assumptions!$E$4</f>
        <v>98.936499999999995</v>
      </c>
      <c r="P21" s="41">
        <f>'Data Sheet'!F48*Assumptions!$E$5</f>
        <v>105.31949999999999</v>
      </c>
      <c r="Q21" s="41">
        <f>'Data Sheet'!F48*Assumptions!$E$6</f>
        <v>114.89399999999999</v>
      </c>
      <c r="R21" s="41">
        <f>'Data Sheet'!G48*Assumptions!$E$4</f>
        <v>74.784400000000005</v>
      </c>
      <c r="S21" s="41">
        <f>'Data Sheet'!G48*Assumptions!$E$5</f>
        <v>79.609200000000001</v>
      </c>
      <c r="T21" s="41">
        <f>'Data Sheet'!G48*Assumptions!$E$6</f>
        <v>86.846400000000003</v>
      </c>
      <c r="U21" s="41">
        <f>'Data Sheet'!H48*Assumptions!$E$4</f>
        <v>85.349199999999996</v>
      </c>
      <c r="V21" s="41">
        <f>'Data Sheet'!H48*Assumptions!$E$5</f>
        <v>90.855599999999995</v>
      </c>
      <c r="W21" s="41">
        <f>'Data Sheet'!H48*Assumptions!$E$6</f>
        <v>99.115199999999987</v>
      </c>
      <c r="X21" s="41">
        <f>'Data Sheet'!I48*Assumptions!$E$4</f>
        <v>46.503099999999996</v>
      </c>
      <c r="Y21" s="41">
        <f>'Data Sheet'!I48*Assumptions!$E$5</f>
        <v>49.503299999999996</v>
      </c>
      <c r="Z21" s="41">
        <f>'Data Sheet'!I48*Assumptions!$E$6</f>
        <v>54.003599999999992</v>
      </c>
      <c r="AA21" s="41">
        <f>'Data Sheet'!J48*Assumptions!$E$4</f>
        <v>123.5288</v>
      </c>
      <c r="AB21" s="41">
        <f>'Data Sheet'!J48*Assumptions!$E$5</f>
        <v>131.4984</v>
      </c>
      <c r="AC21" s="41">
        <f>'Data Sheet'!J48*Assumptions!$E$6</f>
        <v>143.4528</v>
      </c>
      <c r="AD21" s="41">
        <f>'Data Sheet'!K48*Assumptions!$E$4</f>
        <v>108.27369999999999</v>
      </c>
      <c r="AE21" s="41">
        <f>'Data Sheet'!K48*Assumptions!$E$5</f>
        <v>115.2591</v>
      </c>
      <c r="AF21" s="41">
        <f>'Data Sheet'!K48*Assumptions!$E$6</f>
        <v>125.73719999999999</v>
      </c>
    </row>
    <row r="22" spans="2:32" ht="15.75" customHeight="1" x14ac:dyDescent="0.2">
      <c r="B22" s="38" t="s">
        <v>39</v>
      </c>
      <c r="C22" s="43">
        <f>C20-C21</f>
        <v>289.59269999999998</v>
      </c>
      <c r="D22" s="43">
        <f>D20-D21</f>
        <v>308.27610000000021</v>
      </c>
      <c r="E22" s="43">
        <f>E20-E21</f>
        <v>336.30120000000005</v>
      </c>
      <c r="F22" s="43">
        <f>F20-F21</f>
        <v>231.44599999999991</v>
      </c>
      <c r="G22" s="43">
        <f>G20-G21</f>
        <v>246.37799999999982</v>
      </c>
      <c r="H22" s="43">
        <f>H20-H21</f>
        <v>268.7759999999999</v>
      </c>
      <c r="I22" s="43">
        <f>I20-I21</f>
        <v>305.77159999999998</v>
      </c>
      <c r="J22" s="43">
        <f>J20-J21</f>
        <v>325.49880000000013</v>
      </c>
      <c r="K22" s="43">
        <f>K20-K21</f>
        <v>355.08959999999985</v>
      </c>
      <c r="L22" s="43">
        <f>L20-L21</f>
        <v>215.80029999999982</v>
      </c>
      <c r="M22" s="43">
        <f>M20-M21</f>
        <v>229.72289999999992</v>
      </c>
      <c r="N22" s="43">
        <f>N20-N21</f>
        <v>250.60679999999979</v>
      </c>
      <c r="O22" s="43">
        <f>O20-O21</f>
        <v>274.47710000000006</v>
      </c>
      <c r="P22" s="43">
        <f>P20-P21</f>
        <v>292.1853000000001</v>
      </c>
      <c r="Q22" s="43">
        <f>Q20-Q21</f>
        <v>318.74760000000003</v>
      </c>
      <c r="R22" s="43">
        <f>R20-R21</f>
        <v>204.36129999999986</v>
      </c>
      <c r="S22" s="43">
        <f>S20-S21</f>
        <v>217.5458999999999</v>
      </c>
      <c r="T22" s="43">
        <f>T20-T21</f>
        <v>237.3227999999998</v>
      </c>
      <c r="U22" s="43">
        <f>U20-U21</f>
        <v>233.49199999999985</v>
      </c>
      <c r="V22" s="43">
        <f>V20-V21</f>
        <v>248.55599999999987</v>
      </c>
      <c r="W22" s="43">
        <f>W20-W21</f>
        <v>271.15199999999993</v>
      </c>
      <c r="X22" s="43">
        <f>X20-X21</f>
        <v>315.59859999999998</v>
      </c>
      <c r="Y22" s="43">
        <f>Y20-Y21</f>
        <v>335.95979999999997</v>
      </c>
      <c r="Z22" s="43">
        <f>Z20-Z21</f>
        <v>366.50159999999983</v>
      </c>
      <c r="AA22" s="43">
        <f>AA20-AA21</f>
        <v>345.37409999999994</v>
      </c>
      <c r="AB22" s="43">
        <f>AB20-AB21</f>
        <v>367.6563000000001</v>
      </c>
      <c r="AC22" s="43">
        <f>AC20-AC21</f>
        <v>401.07960000000026</v>
      </c>
      <c r="AD22" s="43">
        <f>AD20-AD21</f>
        <v>302.2872000000001</v>
      </c>
      <c r="AE22" s="43">
        <f>AE20-AE21</f>
        <v>321.78960000000012</v>
      </c>
      <c r="AF22" s="43">
        <f>AF20-AF21</f>
        <v>351.04320000000018</v>
      </c>
    </row>
    <row r="23" spans="2:32" ht="15.75" customHeight="1" x14ac:dyDescent="0.2">
      <c r="B23" s="44" t="s">
        <v>113</v>
      </c>
      <c r="C23" s="45">
        <f>C22/C9</f>
        <v>0.17734295949381024</v>
      </c>
      <c r="D23" s="45">
        <f>D22/D9</f>
        <v>0.17734295949381038</v>
      </c>
      <c r="E23" s="45">
        <f>E22/E9</f>
        <v>0.17734295949381029</v>
      </c>
      <c r="F23" s="45">
        <f>F22/F9</f>
        <v>0.15509093364077312</v>
      </c>
      <c r="G23" s="45">
        <f>G22/G9</f>
        <v>0.15509093364077306</v>
      </c>
      <c r="H23" s="45">
        <f>H22/H9</f>
        <v>0.15509093364077312</v>
      </c>
      <c r="I23" s="45">
        <f>I22/I9</f>
        <v>0.19325235109717867</v>
      </c>
      <c r="J23" s="45">
        <f>J22/J9</f>
        <v>0.19325235109717875</v>
      </c>
      <c r="K23" s="45">
        <f>K22/K9</f>
        <v>0.19325235109717862</v>
      </c>
      <c r="L23" s="45">
        <f>L22/L9</f>
        <v>0.14564211786021375</v>
      </c>
      <c r="M23" s="45">
        <f>M22/M9</f>
        <v>0.14564211786021383</v>
      </c>
      <c r="N23" s="45">
        <f>N22/N9</f>
        <v>0.14564211786021375</v>
      </c>
      <c r="O23" s="45">
        <f>O22/O9</f>
        <v>0.16087014978524244</v>
      </c>
      <c r="P23" s="45">
        <f>P22/P9</f>
        <v>0.16087014978524244</v>
      </c>
      <c r="Q23" s="45">
        <f>Q22/Q9</f>
        <v>0.16087014978524242</v>
      </c>
      <c r="R23" s="45">
        <f>R22/R9</f>
        <v>0.12935818341653313</v>
      </c>
      <c r="S23" s="45">
        <f>S22/S9</f>
        <v>0.12935818341653318</v>
      </c>
      <c r="T23" s="45">
        <f>T22/T9</f>
        <v>0.12935818341653313</v>
      </c>
      <c r="U23" s="45">
        <f>U22/U9</f>
        <v>0.13346067499348813</v>
      </c>
      <c r="V23" s="45">
        <f>V22/V9</f>
        <v>0.13346067499348815</v>
      </c>
      <c r="W23" s="45">
        <f>W22/W9</f>
        <v>0.13346067499348818</v>
      </c>
      <c r="X23" s="45">
        <f>X22/X9</f>
        <v>0.17964581157006124</v>
      </c>
      <c r="Y23" s="45">
        <f>Y22/Y9</f>
        <v>0.17964581157006126</v>
      </c>
      <c r="Z23" s="45">
        <f>Z22/Z9</f>
        <v>0.17964581157006118</v>
      </c>
      <c r="AA23" s="45">
        <f>AA22/AA9</f>
        <v>0.16510739071607147</v>
      </c>
      <c r="AB23" s="45">
        <f>AB22/AB9</f>
        <v>0.16510739071607153</v>
      </c>
      <c r="AC23" s="45">
        <f>AC22/AC9</f>
        <v>0.16510739071607158</v>
      </c>
      <c r="AD23" s="45">
        <f>AD22/AD9</f>
        <v>0.15288373799422408</v>
      </c>
      <c r="AE23" s="45">
        <f>AE22/AE9</f>
        <v>0.15288373799422408</v>
      </c>
      <c r="AF23" s="45">
        <f>AF22/AF9</f>
        <v>0.15288373799422414</v>
      </c>
    </row>
    <row r="24" spans="2:32" ht="15.75" customHeight="1" x14ac:dyDescent="0.15"/>
    <row r="25" spans="2:32" ht="15.75" customHeight="1" x14ac:dyDescent="0.2">
      <c r="B25" s="38" t="s">
        <v>114</v>
      </c>
    </row>
    <row r="26" spans="2:32" ht="15.75" customHeight="1" x14ac:dyDescent="0.2">
      <c r="B26" s="25" t="s">
        <v>115</v>
      </c>
      <c r="C26" s="41">
        <f>SUM(U9:AF9)</f>
        <v>24436.619999999995</v>
      </c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</row>
    <row r="27" spans="2:32" ht="15.75" customHeight="1" x14ac:dyDescent="0.2">
      <c r="B27" s="25" t="s">
        <v>116</v>
      </c>
      <c r="C27" s="46">
        <f>SUM(U14:AF14)</f>
        <v>5747.3200000000006</v>
      </c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</row>
    <row r="28" spans="2:32" ht="15.75" customHeight="1" x14ac:dyDescent="0.2">
      <c r="B28" s="25" t="s">
        <v>117</v>
      </c>
      <c r="C28" s="41">
        <f>SUM(U22:AF22)</f>
        <v>3860.4900000000002</v>
      </c>
    </row>
    <row r="29" spans="2:32" ht="15.75" customHeight="1" x14ac:dyDescent="0.15"/>
    <row r="30" spans="2:32" ht="15.75" customHeight="1" x14ac:dyDescent="0.2">
      <c r="B30" s="38" t="s">
        <v>118</v>
      </c>
      <c r="P30" s="41"/>
      <c r="Q30" s="41"/>
      <c r="AB30" s="47"/>
    </row>
    <row r="31" spans="2:32" ht="15.75" customHeight="1" x14ac:dyDescent="0.2">
      <c r="B31" s="48" t="s">
        <v>119</v>
      </c>
      <c r="AB31" s="47"/>
    </row>
    <row r="32" spans="2:32" ht="15.75" customHeight="1" x14ac:dyDescent="0.2"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7"/>
      <c r="AD32" s="41"/>
      <c r="AE32" s="41"/>
      <c r="AF32" s="41"/>
    </row>
    <row r="33" spans="2:32" ht="15.75" customHeight="1" x14ac:dyDescent="0.2">
      <c r="B33" s="49" t="s">
        <v>120</v>
      </c>
      <c r="C33" s="50" t="s">
        <v>121</v>
      </c>
      <c r="D33" s="50" t="s">
        <v>122</v>
      </c>
      <c r="E33" s="50" t="s">
        <v>123</v>
      </c>
      <c r="F33" s="50" t="s">
        <v>124</v>
      </c>
      <c r="G33" s="50" t="s">
        <v>125</v>
      </c>
      <c r="H33" s="50" t="s">
        <v>123</v>
      </c>
      <c r="I33" s="50" t="s">
        <v>126</v>
      </c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7"/>
      <c r="AD33" s="41"/>
      <c r="AE33" s="41"/>
      <c r="AF33" s="41"/>
    </row>
    <row r="34" spans="2:32" ht="15.75" customHeight="1" x14ac:dyDescent="0.2">
      <c r="B34" s="15" t="s">
        <v>91</v>
      </c>
      <c r="C34" s="41">
        <f>'Data Sheet'!B42</f>
        <v>5267.59</v>
      </c>
      <c r="D34" s="41">
        <f>SUM(C9:E9)</f>
        <v>5267.59</v>
      </c>
      <c r="E34" s="41">
        <f>C34-D34</f>
        <v>0</v>
      </c>
      <c r="F34" s="41">
        <f>'Data Sheet'!B43</f>
        <v>3917.54</v>
      </c>
      <c r="G34" s="41">
        <f>SUM(C10:E10)</f>
        <v>3917.54</v>
      </c>
      <c r="H34" s="41">
        <f>F34-G34</f>
        <v>0</v>
      </c>
      <c r="I34" s="41" t="str">
        <f>IF(AND(ABS(E34)&lt;0.01,ABS(H34)&lt;0.01),"OK","FLAG — CHECK")</f>
        <v>OK</v>
      </c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7"/>
      <c r="AD34" s="41"/>
      <c r="AE34" s="41"/>
      <c r="AF34" s="41"/>
    </row>
    <row r="35" spans="2:32" ht="15.75" customHeight="1" x14ac:dyDescent="0.2">
      <c r="B35" s="15" t="s">
        <v>92</v>
      </c>
      <c r="C35" s="41">
        <f>'Data Sheet'!C42</f>
        <v>4813.95</v>
      </c>
      <c r="D35" s="41">
        <f>SUM(F9:H9)</f>
        <v>4813.95</v>
      </c>
      <c r="E35" s="41">
        <f>C35-D35</f>
        <v>0</v>
      </c>
      <c r="F35" s="41">
        <f>'Data Sheet'!C43</f>
        <v>3699.62</v>
      </c>
      <c r="G35" s="41">
        <f>SUM(F10:H10)</f>
        <v>3699.62</v>
      </c>
      <c r="H35" s="41">
        <f>F35-G35</f>
        <v>0</v>
      </c>
      <c r="I35" s="41" t="str">
        <f>IF(AND(ABS(E35)&lt;0.01,ABS(H35)&lt;0.01),"OK","FLAG — CHECK")</f>
        <v>OK</v>
      </c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7"/>
      <c r="AC35" s="41"/>
      <c r="AD35" s="41"/>
      <c r="AE35" s="41"/>
      <c r="AF35" s="41"/>
    </row>
    <row r="36" spans="2:32" ht="15.75" customHeight="1" x14ac:dyDescent="0.2">
      <c r="B36" s="15" t="s">
        <v>93</v>
      </c>
      <c r="C36" s="41">
        <f>'Data Sheet'!D42</f>
        <v>5104</v>
      </c>
      <c r="D36" s="41">
        <f>SUM(I9:K9)</f>
        <v>5104</v>
      </c>
      <c r="E36" s="41">
        <f>C36-D36</f>
        <v>0</v>
      </c>
      <c r="F36" s="41">
        <f>'Data Sheet'!D43</f>
        <v>3936.27</v>
      </c>
      <c r="G36" s="41">
        <f>SUM(I10:K10)</f>
        <v>3936.2700000000004</v>
      </c>
      <c r="H36" s="41">
        <f>F36-G36</f>
        <v>0</v>
      </c>
      <c r="I36" s="41" t="str">
        <f>IF(AND(ABS(E36)&lt;0.01,ABS(H36)&lt;0.01),"OK","FLAG — CHECK")</f>
        <v>OK</v>
      </c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7"/>
      <c r="AD36" s="41"/>
      <c r="AE36" s="41"/>
      <c r="AF36" s="41"/>
    </row>
    <row r="37" spans="2:32" ht="15.75" customHeight="1" x14ac:dyDescent="0.2">
      <c r="B37" s="15" t="s">
        <v>94</v>
      </c>
      <c r="C37" s="41">
        <f>'Data Sheet'!E42</f>
        <v>4779.7299999999996</v>
      </c>
      <c r="D37" s="41">
        <f>SUM(L9:N9)</f>
        <v>4779.7299999999996</v>
      </c>
      <c r="E37" s="41">
        <f>C37-D37</f>
        <v>0</v>
      </c>
      <c r="F37" s="41">
        <f>'Data Sheet'!E43</f>
        <v>3677.04</v>
      </c>
      <c r="G37" s="41">
        <f>SUM(L10:N10)</f>
        <v>3677.04</v>
      </c>
      <c r="H37" s="41">
        <f>F37-G37</f>
        <v>0</v>
      </c>
      <c r="I37" s="41" t="str">
        <f>IF(AND(ABS(E37)&lt;0.01,ABS(H37)&lt;0.01),"OK","FLAG — CHECK")</f>
        <v>OK</v>
      </c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7"/>
      <c r="AC37" s="41"/>
      <c r="AD37" s="41"/>
      <c r="AE37" s="41"/>
      <c r="AF37" s="41"/>
    </row>
    <row r="38" spans="2:32" ht="15.75" customHeight="1" x14ac:dyDescent="0.2">
      <c r="B38" s="15" t="s">
        <v>95</v>
      </c>
      <c r="C38" s="51">
        <f>'Data Sheet'!F42</f>
        <v>5503.88</v>
      </c>
      <c r="D38" s="51">
        <f>SUM(O9:Q9)</f>
        <v>5503.88</v>
      </c>
      <c r="E38" s="51">
        <f>C38-D38</f>
        <v>0</v>
      </c>
      <c r="F38" s="51">
        <f>'Data Sheet'!F43</f>
        <v>4115.58</v>
      </c>
      <c r="G38" s="51">
        <f>SUM(O10:Q10)</f>
        <v>4115.58</v>
      </c>
      <c r="H38" s="51">
        <f>F38-G38</f>
        <v>0</v>
      </c>
      <c r="I38" s="15" t="str">
        <f>IF(AND(ABS(E38)&lt;0.01,ABS(H38)&lt;0.01),"OK","FLAG — CHECK")</f>
        <v>OK</v>
      </c>
      <c r="AB38" s="47"/>
      <c r="AC38" s="41"/>
    </row>
    <row r="39" spans="2:32" ht="15.75" customHeight="1" x14ac:dyDescent="0.15">
      <c r="B39" s="15" t="s">
        <v>96</v>
      </c>
      <c r="C39" s="51">
        <f>'Data Sheet'!G42</f>
        <v>5096.16</v>
      </c>
      <c r="D39" s="51">
        <f>SUM(R9:T9)</f>
        <v>5096.16</v>
      </c>
      <c r="E39" s="51">
        <f>C39-D39</f>
        <v>0</v>
      </c>
      <c r="F39" s="51">
        <f>'Data Sheet'!G43</f>
        <v>3996.03</v>
      </c>
      <c r="G39" s="51">
        <f>SUM(R10:T10)</f>
        <v>3996.03</v>
      </c>
      <c r="H39" s="51">
        <f>F39-G39</f>
        <v>0</v>
      </c>
      <c r="I39" s="15" t="str">
        <f>IF(AND(ABS(E39)&lt;0.01,ABS(H39)&lt;0.01),"OK","FLAG — CHECK")</f>
        <v>OK</v>
      </c>
    </row>
    <row r="40" spans="2:32" ht="15.75" customHeight="1" x14ac:dyDescent="0.15">
      <c r="B40" s="15" t="s">
        <v>97</v>
      </c>
      <c r="C40" s="51">
        <f>'Data Sheet'!H42</f>
        <v>5643.61</v>
      </c>
      <c r="D40" s="51">
        <f>SUM(U9:W9)</f>
        <v>5643.61</v>
      </c>
      <c r="E40" s="51">
        <f>C40-D40</f>
        <v>0</v>
      </c>
      <c r="F40" s="51">
        <f>'Data Sheet'!H43</f>
        <v>4406.97</v>
      </c>
      <c r="G40" s="51">
        <f>SUM(U10:W10)</f>
        <v>4406.97</v>
      </c>
      <c r="H40" s="51">
        <f>F40-G40</f>
        <v>0</v>
      </c>
      <c r="I40" s="15" t="str">
        <f>IF(AND(ABS(E40)&lt;0.01,ABS(H40)&lt;0.01),"OK","FLAG — CHECK")</f>
        <v>OK</v>
      </c>
    </row>
    <row r="41" spans="2:32" ht="15.75" customHeight="1" x14ac:dyDescent="0.15">
      <c r="B41" s="15" t="s">
        <v>98</v>
      </c>
      <c r="C41" s="51">
        <f>'Data Sheet'!I42</f>
        <v>5667.04</v>
      </c>
      <c r="D41" s="51">
        <f>SUM(X9:Z9)</f>
        <v>5667.04</v>
      </c>
      <c r="E41" s="51">
        <f>C41-D41</f>
        <v>0</v>
      </c>
      <c r="F41" s="51">
        <f>'Data Sheet'!I43</f>
        <v>4466.09</v>
      </c>
      <c r="G41" s="51">
        <f>SUM(X10:Z10)</f>
        <v>4466.09</v>
      </c>
      <c r="H41" s="51">
        <f>F41-G41</f>
        <v>0</v>
      </c>
      <c r="I41" s="15" t="str">
        <f>IF(AND(ABS(E41)&lt;0.01,ABS(H41)&lt;0.01),"OK","FLAG — CHECK")</f>
        <v>OK</v>
      </c>
    </row>
    <row r="42" spans="2:32" ht="15.75" customHeight="1" x14ac:dyDescent="0.15">
      <c r="B42" s="15" t="s">
        <v>99</v>
      </c>
      <c r="C42" s="51">
        <f>'Data Sheet'!J42</f>
        <v>6747.79</v>
      </c>
      <c r="D42" s="51">
        <f>SUM(AA9:AC9)</f>
        <v>6747.7900000000009</v>
      </c>
      <c r="E42" s="51">
        <f>C42-D42</f>
        <v>0</v>
      </c>
      <c r="F42" s="51">
        <f>'Data Sheet'!J43</f>
        <v>4976.1899999999996</v>
      </c>
      <c r="G42" s="51">
        <f>SUM(AA10:AC10)</f>
        <v>4976.1899999999996</v>
      </c>
      <c r="H42" s="51">
        <f>F42-G42</f>
        <v>0</v>
      </c>
      <c r="I42" s="15" t="str">
        <f>IF(AND(ABS(E42)&lt;0.01,ABS(H42)&lt;0.01),"OK","FLAG — CHECK")</f>
        <v>OK</v>
      </c>
    </row>
    <row r="43" spans="2:32" ht="15.75" customHeight="1" x14ac:dyDescent="0.15">
      <c r="B43" s="15" t="s">
        <v>100</v>
      </c>
      <c r="C43" s="51">
        <f>'Data Sheet'!K42</f>
        <v>6378.18</v>
      </c>
      <c r="D43" s="51">
        <f>SUM(AD9:AF9)</f>
        <v>6378.18</v>
      </c>
      <c r="E43" s="51">
        <f>C43-D43</f>
        <v>0</v>
      </c>
      <c r="F43" s="51">
        <f>'Data Sheet'!K43</f>
        <v>4840.05</v>
      </c>
      <c r="G43" s="51">
        <f>SUM(AD10:AF10)</f>
        <v>4840.05</v>
      </c>
      <c r="H43" s="51">
        <f>F43-G43</f>
        <v>0</v>
      </c>
      <c r="I43" s="15" t="str">
        <f>IF(AND(ABS(E43)&lt;0.01,ABS(H43)&lt;0.01),"OK","FLAG — CHECK")</f>
        <v>OK</v>
      </c>
    </row>
    <row r="44" spans="2:32" ht="15.75" customHeight="1" x14ac:dyDescent="0.15"/>
    <row r="45" spans="2:32" ht="15.75" customHeight="1" x14ac:dyDescent="0.2">
      <c r="B45" s="38" t="s">
        <v>127</v>
      </c>
      <c r="C45" s="38" t="str">
        <f>IF(COUNTIF(I34:I43,"OK")=COUNTA(I34:I43),"ALL QUARTERS RECONCILE","REVIEW FLAGGED QUARTERS")</f>
        <v>ALL QUARTERS RECONCILE</v>
      </c>
    </row>
    <row r="46" spans="2:32" ht="15.75" customHeight="1" x14ac:dyDescent="0.15"/>
    <row r="47" spans="2:32" ht="15.75" customHeight="1" x14ac:dyDescent="0.15"/>
    <row r="48" spans="2:32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</sheetData>
  <mergeCells count="2">
    <mergeCell ref="B2:AF2"/>
    <mergeCell ref="B3:AF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Q100"/>
  <sheetViews>
    <sheetView showGridLines="0" zoomScaleNormal="100" workbookViewId="0"/>
  </sheetViews>
  <sheetFormatPr defaultColWidth="14.46484375" defaultRowHeight="13.5" x14ac:dyDescent="0.15"/>
  <cols>
    <col min="1" max="1" width="1.9609375" style="15" customWidth="1"/>
    <col min="2" max="2" width="33.46484375" style="15" customWidth="1"/>
    <col min="3" max="3" width="10.296875" style="15" customWidth="1"/>
    <col min="4" max="17" width="9.31640625" style="15" customWidth="1"/>
  </cols>
  <sheetData>
    <row r="2" spans="2:17" ht="15" customHeight="1" x14ac:dyDescent="0.2">
      <c r="B2" s="120" t="str">
        <f>"Monthly Budget  -"&amp;'Data Sheet'!B1</f>
        <v>Monthly Budget  -NESTLE INDIA LTD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</row>
    <row r="4" spans="2:17" ht="15" customHeight="1" x14ac:dyDescent="0.2">
      <c r="B4" s="38" t="s">
        <v>53</v>
      </c>
      <c r="C4" s="39">
        <v>46113</v>
      </c>
      <c r="D4" s="39">
        <v>46143</v>
      </c>
      <c r="E4" s="39">
        <v>46174</v>
      </c>
      <c r="F4" s="39">
        <v>46204</v>
      </c>
      <c r="G4" s="39">
        <v>46235</v>
      </c>
      <c r="H4" s="39">
        <v>46266</v>
      </c>
      <c r="I4" s="39">
        <v>46296</v>
      </c>
      <c r="J4" s="39">
        <v>46327</v>
      </c>
      <c r="K4" s="39">
        <v>46357</v>
      </c>
      <c r="L4" s="39">
        <v>46388</v>
      </c>
      <c r="M4" s="39">
        <v>46419</v>
      </c>
      <c r="N4" s="39">
        <v>46447</v>
      </c>
      <c r="O4" s="39">
        <v>46478</v>
      </c>
      <c r="P4" s="39">
        <v>46508</v>
      </c>
      <c r="Q4" s="39">
        <v>46539</v>
      </c>
    </row>
    <row r="5" spans="2:17" ht="15" customHeight="1" x14ac:dyDescent="0.2"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</row>
    <row r="6" spans="2:17" ht="15" customHeight="1" x14ac:dyDescent="0.2">
      <c r="B6" s="40" t="s">
        <v>128</v>
      </c>
      <c r="C6" s="40"/>
      <c r="D6" s="40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</row>
    <row r="7" spans="2:17" ht="15" customHeight="1" x14ac:dyDescent="0.2">
      <c r="B7" s="25" t="s">
        <v>129</v>
      </c>
      <c r="C7" s="41">
        <f>'Monthly Actuals'!Q$9*(1+Assumptions!$D$11)</f>
        <v>2179.5364800000002</v>
      </c>
      <c r="D7" s="41">
        <f>'Monthly Actuals'!R$9*(1+Assumptions!$D$11)</f>
        <v>1737.7905600000001</v>
      </c>
      <c r="E7" s="41">
        <f>'Monthly Actuals'!S$9*(1+Assumptions!$D$11)</f>
        <v>1849.9060800000002</v>
      </c>
      <c r="F7" s="41">
        <f>'Monthly Actuals'!T$9*(1+Assumptions!$D$11)</f>
        <v>2018.07936</v>
      </c>
      <c r="G7" s="41">
        <f>'Monthly Actuals'!U$9*(1+Assumptions!$D$11)</f>
        <v>1924.4710100000002</v>
      </c>
      <c r="H7" s="41">
        <f>'Monthly Actuals'!V$9*(1+Assumptions!$D$11)</f>
        <v>2048.6304300000002</v>
      </c>
      <c r="I7" s="41">
        <f>'Monthly Actuals'!W$9*(1+Assumptions!$D$11)</f>
        <v>2234.8695600000001</v>
      </c>
      <c r="J7" s="41">
        <f>'Monthly Actuals'!X$9*(1+Assumptions!$D$11)</f>
        <v>1932.4606400000002</v>
      </c>
      <c r="K7" s="41">
        <f>'Monthly Actuals'!Y$9*(1+Assumptions!$D$11)</f>
        <v>2057.1355200000003</v>
      </c>
      <c r="L7" s="41">
        <f>'Monthly Actuals'!Z$9*(1+Assumptions!$D$11)</f>
        <v>2244.1478400000001</v>
      </c>
      <c r="M7" s="41">
        <f>'Monthly Actuals'!AA$9*(1+Assumptions!$D$11)</f>
        <v>2300.9963900000002</v>
      </c>
      <c r="N7" s="41">
        <f>'Monthly Actuals'!AB$9*(1+Assumptions!$D$11)</f>
        <v>2449.4477700000002</v>
      </c>
      <c r="O7" s="41">
        <f>'Monthly Actuals'!AC$9*(1+Assumptions!$D$11)</f>
        <v>2672.1248400000004</v>
      </c>
      <c r="P7" s="41">
        <f>'Monthly Actuals'!AD$9*(1+Assumptions!$D$11)</f>
        <v>2174.9593800000002</v>
      </c>
      <c r="Q7" s="41">
        <f>'Monthly Actuals'!AE$9*(1+Assumptions!$D$11)</f>
        <v>2315.2793400000005</v>
      </c>
    </row>
    <row r="8" spans="2:17" ht="15" customHeight="1" x14ac:dyDescent="0.2">
      <c r="B8" s="25" t="s">
        <v>130</v>
      </c>
      <c r="C8" s="41">
        <f>C9+C10+C11</f>
        <v>1680.4226260800001</v>
      </c>
      <c r="D8" s="41">
        <f>D9+D10+D11</f>
        <v>1339.8365217600003</v>
      </c>
      <c r="E8" s="41">
        <f>E9+E10+E11</f>
        <v>1426.2775876800001</v>
      </c>
      <c r="F8" s="41">
        <f>F9+F10+F11</f>
        <v>1555.9391865600001</v>
      </c>
      <c r="G8" s="41">
        <f>G9+G10+G11</f>
        <v>1483.7671487100001</v>
      </c>
      <c r="H8" s="41">
        <f>H9+H10+H11</f>
        <v>1579.4940615300002</v>
      </c>
      <c r="I8" s="41">
        <f>I9+I10+I11</f>
        <v>1723.0844307600003</v>
      </c>
      <c r="J8" s="41">
        <f>J9+J10+J11</f>
        <v>1489.9271534400002</v>
      </c>
      <c r="K8" s="41">
        <f>K9+K10+K11</f>
        <v>1586.0514859200002</v>
      </c>
      <c r="L8" s="41">
        <f>L9+L10+L11</f>
        <v>1730.2379846399999</v>
      </c>
      <c r="M8" s="41">
        <f>M9+M10+M11</f>
        <v>1774.0682166900001</v>
      </c>
      <c r="N8" s="41">
        <f>N9+N10+N11</f>
        <v>1888.5242306700002</v>
      </c>
      <c r="O8" s="41">
        <f>O9+O10+O11</f>
        <v>2060.2082516400005</v>
      </c>
      <c r="P8" s="41">
        <f>P9+P10+P11</f>
        <v>1676.8936819800003</v>
      </c>
      <c r="Q8" s="41">
        <f>Q9+Q10+Q11</f>
        <v>1785.0803711400004</v>
      </c>
    </row>
    <row r="9" spans="2:17" ht="15" customHeight="1" x14ac:dyDescent="0.2">
      <c r="B9" s="25" t="s">
        <v>131</v>
      </c>
      <c r="C9" s="42">
        <f>C7*Assumptions!$D$15</f>
        <v>845.66015424000011</v>
      </c>
      <c r="D9" s="42">
        <f>D7*Assumptions!$D$15</f>
        <v>674.26273728000012</v>
      </c>
      <c r="E9" s="42">
        <f>E7*Assumptions!$D$15</f>
        <v>717.76355904000013</v>
      </c>
      <c r="F9" s="42">
        <f>F7*Assumptions!$D$15</f>
        <v>783.01479168000003</v>
      </c>
      <c r="G9" s="42">
        <f>G7*Assumptions!$D$15</f>
        <v>746.69475188000013</v>
      </c>
      <c r="H9" s="42">
        <f>H7*Assumptions!$D$15</f>
        <v>794.8686068400001</v>
      </c>
      <c r="I9" s="42">
        <f>I7*Assumptions!$D$15</f>
        <v>867.12938928000005</v>
      </c>
      <c r="J9" s="42">
        <f>J7*Assumptions!$D$15</f>
        <v>749.7947283200001</v>
      </c>
      <c r="K9" s="42">
        <f>K7*Assumptions!$D$15</f>
        <v>798.16858176000017</v>
      </c>
      <c r="L9" s="42">
        <f>L7*Assumptions!$D$15</f>
        <v>870.72936192000009</v>
      </c>
      <c r="M9" s="42">
        <f>M7*Assumptions!$D$15</f>
        <v>892.78659932000016</v>
      </c>
      <c r="N9" s="42">
        <f>N7*Assumptions!$D$15</f>
        <v>950.3857347600001</v>
      </c>
      <c r="O9" s="42">
        <f>O7*Assumptions!$D$15</f>
        <v>1036.7844379200003</v>
      </c>
      <c r="P9" s="42">
        <f>P7*Assumptions!$D$15</f>
        <v>843.8842394400001</v>
      </c>
      <c r="Q9" s="42">
        <f>Q7*Assumptions!$D$15</f>
        <v>898.32838392000019</v>
      </c>
    </row>
    <row r="10" spans="2:17" ht="15" customHeight="1" x14ac:dyDescent="0.2">
      <c r="B10" s="25" t="s">
        <v>132</v>
      </c>
      <c r="C10" s="42">
        <f>C7*Assumptions!$D$16</f>
        <v>222.31272096000001</v>
      </c>
      <c r="D10" s="42">
        <f>D7*Assumptions!$D$16</f>
        <v>177.25463712000001</v>
      </c>
      <c r="E10" s="42">
        <f>E7*Assumptions!$D$16</f>
        <v>188.69042016</v>
      </c>
      <c r="F10" s="42">
        <f>F7*Assumptions!$D$16</f>
        <v>205.84409471999999</v>
      </c>
      <c r="G10" s="42">
        <f>G7*Assumptions!$D$16</f>
        <v>196.29604302000001</v>
      </c>
      <c r="H10" s="42">
        <f>H7*Assumptions!$D$16</f>
        <v>208.96030386000001</v>
      </c>
      <c r="I10" s="42">
        <f>I7*Assumptions!$D$16</f>
        <v>227.95669512000001</v>
      </c>
      <c r="J10" s="42">
        <f>J7*Assumptions!$D$16</f>
        <v>197.11098528000002</v>
      </c>
      <c r="K10" s="42">
        <f>K7*Assumptions!$D$16</f>
        <v>209.82782304000003</v>
      </c>
      <c r="L10" s="42">
        <f>L7*Assumptions!$D$16</f>
        <v>228.90307967999999</v>
      </c>
      <c r="M10" s="42">
        <f>M7*Assumptions!$D$16</f>
        <v>234.70163178000001</v>
      </c>
      <c r="N10" s="42">
        <f>N7*Assumptions!$D$16</f>
        <v>249.84367254</v>
      </c>
      <c r="O10" s="42">
        <f>O7*Assumptions!$D$16</f>
        <v>272.55673368000004</v>
      </c>
      <c r="P10" s="42">
        <f>P7*Assumptions!$D$16</f>
        <v>221.84585676</v>
      </c>
      <c r="Q10" s="42">
        <f>Q7*Assumptions!$D$16</f>
        <v>236.15849268000002</v>
      </c>
    </row>
    <row r="11" spans="2:17" ht="15" customHeight="1" x14ac:dyDescent="0.2">
      <c r="B11" s="25" t="s">
        <v>133</v>
      </c>
      <c r="C11" s="42">
        <f>C7*Assumptions!$D$17</f>
        <v>612.44975088000012</v>
      </c>
      <c r="D11" s="42">
        <f>D7*Assumptions!$D$17</f>
        <v>488.3191473600001</v>
      </c>
      <c r="E11" s="42">
        <f>E7*Assumptions!$D$17</f>
        <v>519.82360848000008</v>
      </c>
      <c r="F11" s="42">
        <f>F7*Assumptions!$D$17</f>
        <v>567.08030016000009</v>
      </c>
      <c r="G11" s="42">
        <f>G7*Assumptions!$D$17</f>
        <v>540.77635381000016</v>
      </c>
      <c r="H11" s="42">
        <f>H7*Assumptions!$D$17</f>
        <v>575.66515083000013</v>
      </c>
      <c r="I11" s="42">
        <f>I7*Assumptions!$D$17</f>
        <v>627.99834636000014</v>
      </c>
      <c r="J11" s="42">
        <f>J7*Assumptions!$D$17</f>
        <v>543.02143984000008</v>
      </c>
      <c r="K11" s="42">
        <f>K7*Assumptions!$D$17</f>
        <v>578.05508112000018</v>
      </c>
      <c r="L11" s="42">
        <f>L7*Assumptions!$D$17</f>
        <v>630.60554304000004</v>
      </c>
      <c r="M11" s="42">
        <f>M7*Assumptions!$D$17</f>
        <v>646.57998559000009</v>
      </c>
      <c r="N11" s="42">
        <f>N7*Assumptions!$D$17</f>
        <v>688.29482337000013</v>
      </c>
      <c r="O11" s="42">
        <f>O7*Assumptions!$D$17</f>
        <v>750.86708004000013</v>
      </c>
      <c r="P11" s="42">
        <f>P7*Assumptions!$D$17</f>
        <v>611.16358578000018</v>
      </c>
      <c r="Q11" s="42">
        <f>Q7*Assumptions!$D$17</f>
        <v>650.59349454000017</v>
      </c>
    </row>
    <row r="12" spans="2:17" ht="15" customHeight="1" x14ac:dyDescent="0.2">
      <c r="B12" s="38" t="s">
        <v>134</v>
      </c>
      <c r="C12" s="43">
        <f>C7-C8</f>
        <v>499.11385392000011</v>
      </c>
      <c r="D12" s="43">
        <f>D7-D8</f>
        <v>397.95403823999982</v>
      </c>
      <c r="E12" s="43">
        <f>E7-E8</f>
        <v>423.62849232000008</v>
      </c>
      <c r="F12" s="43">
        <f>F7-F8</f>
        <v>462.1401734399999</v>
      </c>
      <c r="G12" s="43">
        <f>G7-G8</f>
        <v>440.70386129000008</v>
      </c>
      <c r="H12" s="43">
        <f>H7-H8</f>
        <v>469.13636846999998</v>
      </c>
      <c r="I12" s="43">
        <f>I7-I8</f>
        <v>511.78512923999983</v>
      </c>
      <c r="J12" s="43">
        <f>J7-J8</f>
        <v>442.53348656000003</v>
      </c>
      <c r="K12" s="43">
        <f>K7-K8</f>
        <v>471.08403408000004</v>
      </c>
      <c r="L12" s="43">
        <f>L7-L8</f>
        <v>513.90985536000017</v>
      </c>
      <c r="M12" s="43">
        <f>M7-M8</f>
        <v>526.92817331000015</v>
      </c>
      <c r="N12" s="43">
        <f>N7-N8</f>
        <v>560.92353933000004</v>
      </c>
      <c r="O12" s="43">
        <f>O7-O8</f>
        <v>611.91658835999988</v>
      </c>
      <c r="P12" s="43">
        <f>P7-P8</f>
        <v>498.0656980199999</v>
      </c>
      <c r="Q12" s="43">
        <f>Q7-Q8</f>
        <v>530.19896886000015</v>
      </c>
    </row>
    <row r="13" spans="2:17" ht="15" customHeight="1" x14ac:dyDescent="0.2">
      <c r="B13" s="44" t="s">
        <v>106</v>
      </c>
      <c r="C13" s="45">
        <f>C12/C7</f>
        <v>0.22900000000000004</v>
      </c>
      <c r="D13" s="45">
        <f>D12/D7</f>
        <v>0.22899999999999987</v>
      </c>
      <c r="E13" s="45">
        <f>E12/E7</f>
        <v>0.22900000000000001</v>
      </c>
      <c r="F13" s="45">
        <f>F12/F7</f>
        <v>0.22899999999999995</v>
      </c>
      <c r="G13" s="45">
        <f>G12/G7</f>
        <v>0.22900000000000001</v>
      </c>
      <c r="H13" s="45">
        <f>H12/H7</f>
        <v>0.22899999999999998</v>
      </c>
      <c r="I13" s="45">
        <f>I12/I7</f>
        <v>0.22899999999999993</v>
      </c>
      <c r="J13" s="45">
        <f>J12/J7</f>
        <v>0.22899999999999998</v>
      </c>
      <c r="K13" s="45">
        <f>K12/K7</f>
        <v>0.22899999999999998</v>
      </c>
      <c r="L13" s="45">
        <f>L12/L7</f>
        <v>0.22900000000000006</v>
      </c>
      <c r="M13" s="45">
        <f>M12/M7</f>
        <v>0.22900000000000004</v>
      </c>
      <c r="N13" s="45">
        <f>N12/N7</f>
        <v>0.22900000000000001</v>
      </c>
      <c r="O13" s="45">
        <f>O12/O7</f>
        <v>0.22899999999999993</v>
      </c>
      <c r="P13" s="45">
        <f>P12/P7</f>
        <v>0.22899999999999993</v>
      </c>
      <c r="Q13" s="45">
        <f>Q12/Q7</f>
        <v>0.22900000000000001</v>
      </c>
    </row>
    <row r="14" spans="2:17" ht="15" customHeight="1" x14ac:dyDescent="0.2">
      <c r="B14" s="25" t="s">
        <v>135</v>
      </c>
      <c r="C14" s="41">
        <f>C7*Assumptions!$D$24</f>
        <v>14.16698712</v>
      </c>
      <c r="D14" s="41">
        <f>D7*Assumptions!$D$24</f>
        <v>11.29563864</v>
      </c>
      <c r="E14" s="41">
        <f>E7*Assumptions!$D$24</f>
        <v>12.024389520000001</v>
      </c>
      <c r="F14" s="41">
        <f>F7*Assumptions!$D$24</f>
        <v>13.117515839999999</v>
      </c>
      <c r="G14" s="41">
        <f>G7*Assumptions!$D$24</f>
        <v>12.509061565000001</v>
      </c>
      <c r="H14" s="41">
        <f>H7*Assumptions!$D$24</f>
        <v>13.316097795000001</v>
      </c>
      <c r="I14" s="41">
        <f>I7*Assumptions!$D$24</f>
        <v>14.526652139999999</v>
      </c>
      <c r="J14" s="41">
        <f>J7*Assumptions!$D$24</f>
        <v>12.560994160000002</v>
      </c>
      <c r="K14" s="41">
        <f>K7*Assumptions!$D$24</f>
        <v>13.371380880000002</v>
      </c>
      <c r="L14" s="41">
        <f>L7*Assumptions!$D$24</f>
        <v>14.586960960000001</v>
      </c>
      <c r="M14" s="41">
        <f>M7*Assumptions!$D$24</f>
        <v>14.956476535</v>
      </c>
      <c r="N14" s="41">
        <f>N7*Assumptions!$D$24</f>
        <v>15.921410505000001</v>
      </c>
      <c r="O14" s="41">
        <f>O7*Assumptions!$D$24</f>
        <v>17.368811460000003</v>
      </c>
      <c r="P14" s="41">
        <f>P7*Assumptions!$D$24</f>
        <v>14.137235970000001</v>
      </c>
      <c r="Q14" s="41">
        <f>Q7*Assumptions!$D$24</f>
        <v>15.049315710000002</v>
      </c>
    </row>
    <row r="15" spans="2:17" ht="15" customHeight="1" x14ac:dyDescent="0.2">
      <c r="B15" s="25" t="s">
        <v>136</v>
      </c>
      <c r="C15" s="41">
        <f>'Monthly Actuals'!R$17*(1+Assumptions!$D$22)</f>
        <v>53.711145600000009</v>
      </c>
      <c r="D15" s="41">
        <f>'Monthly Actuals'!S$17*(1+Assumptions!$D$22)</f>
        <v>57.176380800000004</v>
      </c>
      <c r="E15" s="41">
        <f>'Monthly Actuals'!T$17*(1+Assumptions!$D$22)</f>
        <v>62.374233600000004</v>
      </c>
      <c r="F15" s="41">
        <f>'Monthly Actuals'!U$17*(1+Assumptions!$D$22)</f>
        <v>55.904904000000002</v>
      </c>
      <c r="G15" s="41">
        <f>'Monthly Actuals'!V$17*(1+Assumptions!$D$22)</f>
        <v>59.511672000000011</v>
      </c>
      <c r="H15" s="41">
        <f>'Monthly Actuals'!W$17*(1+Assumptions!$D$22)</f>
        <v>64.921824000000001</v>
      </c>
      <c r="I15" s="41">
        <f>'Monthly Actuals'!X$17*(1+Assumptions!$D$22)</f>
        <v>59.690078400000004</v>
      </c>
      <c r="J15" s="41">
        <f>'Monthly Actuals'!Y$17*(1+Assumptions!$D$22)</f>
        <v>63.541051200000005</v>
      </c>
      <c r="K15" s="41">
        <f>'Monthly Actuals'!Z$17*(1+Assumptions!$D$22)</f>
        <v>69.317510400000003</v>
      </c>
      <c r="L15" s="41">
        <f>'Monthly Actuals'!AA$17*(1+Assumptions!$D$22)</f>
        <v>69.998347200000012</v>
      </c>
      <c r="M15" s="41">
        <f>'Monthly Actuals'!AB$17*(1+Assumptions!$D$22)</f>
        <v>74.514369600000009</v>
      </c>
      <c r="N15" s="41">
        <f>'Monthly Actuals'!AC$17*(1+Assumptions!$D$22)</f>
        <v>81.288403200000005</v>
      </c>
      <c r="O15" s="41">
        <f>'Monthly Actuals'!AD$17*(1+Assumptions!$D$22)</f>
        <v>64.272672000000014</v>
      </c>
      <c r="P15" s="41">
        <f>'Monthly Actuals'!AE$17*(1+Assumptions!$D$22)</f>
        <v>68.419296000000003</v>
      </c>
      <c r="Q15" s="41">
        <f>'Monthly Actuals'!AF$17*(1+Assumptions!$D$22)</f>
        <v>74.639232000000007</v>
      </c>
    </row>
    <row r="16" spans="2:17" ht="15" customHeight="1" x14ac:dyDescent="0.2">
      <c r="B16" s="38" t="s">
        <v>137</v>
      </c>
      <c r="C16" s="43">
        <f>C12-C15+C14</f>
        <v>459.56969544000009</v>
      </c>
      <c r="D16" s="43">
        <f>D12-D15+D14</f>
        <v>352.07329607999981</v>
      </c>
      <c r="E16" s="43">
        <f>E12-E15+E14</f>
        <v>373.27864824000005</v>
      </c>
      <c r="F16" s="43">
        <f>F12-F15+F14</f>
        <v>419.35278527999992</v>
      </c>
      <c r="G16" s="43">
        <f>G12-G15+G14</f>
        <v>393.70125085500007</v>
      </c>
      <c r="H16" s="43">
        <f>H12-H15+H14</f>
        <v>417.53064226499998</v>
      </c>
      <c r="I16" s="43">
        <f>I12-I15+I14</f>
        <v>466.62170297999984</v>
      </c>
      <c r="J16" s="43">
        <f>J12-J15+J14</f>
        <v>391.55342952000001</v>
      </c>
      <c r="K16" s="43">
        <f>K12-K15+K14</f>
        <v>415.13790456000004</v>
      </c>
      <c r="L16" s="43">
        <f>L12-L15+L14</f>
        <v>458.49846912000015</v>
      </c>
      <c r="M16" s="43">
        <f>M12-M15+M14</f>
        <v>467.37028024500012</v>
      </c>
      <c r="N16" s="43">
        <f>N12-N15+N14</f>
        <v>495.55654663500002</v>
      </c>
      <c r="O16" s="43">
        <f>O12-O15+O14</f>
        <v>565.01272781999978</v>
      </c>
      <c r="P16" s="43">
        <f>P12-P15+P14</f>
        <v>443.78363798999987</v>
      </c>
      <c r="Q16" s="43">
        <f>Q12-Q15+Q14</f>
        <v>470.60905257000013</v>
      </c>
    </row>
    <row r="17" spans="2:17" ht="15" customHeight="1" x14ac:dyDescent="0.2">
      <c r="B17" s="25" t="s">
        <v>138</v>
      </c>
      <c r="C17" s="41">
        <f>'Monthly Actuals'!R$19*(1+Assumptions!$D$23)</f>
        <v>15.626092499999999</v>
      </c>
      <c r="D17" s="41">
        <f>'Monthly Actuals'!S$19*(1+Assumptions!$D$23)</f>
        <v>16.634227500000001</v>
      </c>
      <c r="E17" s="41">
        <f>'Monthly Actuals'!T$19*(1+Assumptions!$D$23)</f>
        <v>18.146429999999999</v>
      </c>
      <c r="F17" s="41">
        <f>'Monthly Actuals'!U$19*(1+Assumptions!$D$23)</f>
        <v>15.466132499999997</v>
      </c>
      <c r="G17" s="41">
        <f>'Monthly Actuals'!V$19*(1+Assumptions!$D$23)</f>
        <v>16.4639475</v>
      </c>
      <c r="H17" s="41">
        <f>'Monthly Actuals'!W$19*(1+Assumptions!$D$23)</f>
        <v>17.960669999999997</v>
      </c>
      <c r="I17" s="41">
        <f>'Monthly Actuals'!X$19*(1+Assumptions!$D$23)</f>
        <v>9.4143124999999994</v>
      </c>
      <c r="J17" s="41">
        <f>'Monthly Actuals'!Y$19*(1+Assumptions!$D$23)</f>
        <v>10.021687499999999</v>
      </c>
      <c r="K17" s="41">
        <f>'Monthly Actuals'!Z$19*(1+Assumptions!$D$23)</f>
        <v>10.932749999999999</v>
      </c>
      <c r="L17" s="41">
        <f>'Monthly Actuals'!AA$19*(1+Assumptions!$D$23)</f>
        <v>12.250269999999999</v>
      </c>
      <c r="M17" s="41">
        <f>'Monthly Actuals'!AB$19*(1+Assumptions!$D$23)</f>
        <v>13.040610000000001</v>
      </c>
      <c r="N17" s="41">
        <f>'Monthly Actuals'!AC$19*(1+Assumptions!$D$23)</f>
        <v>14.226119999999998</v>
      </c>
      <c r="O17" s="41">
        <f>'Monthly Actuals'!AD$19*(1+Assumptions!$D$23)</f>
        <v>14.056484999999999</v>
      </c>
      <c r="P17" s="41">
        <f>'Monthly Actuals'!AE$19*(1+Assumptions!$D$23)</f>
        <v>14.963355</v>
      </c>
      <c r="Q17" s="41">
        <f>'Monthly Actuals'!AF$19*(1+Assumptions!$D$23)</f>
        <v>16.323659999999997</v>
      </c>
    </row>
    <row r="18" spans="2:17" ht="15" customHeight="1" x14ac:dyDescent="0.2">
      <c r="B18" s="38" t="s">
        <v>139</v>
      </c>
      <c r="C18" s="43">
        <f>C16-C17</f>
        <v>443.94360294000012</v>
      </c>
      <c r="D18" s="43">
        <f>D16-D17</f>
        <v>335.4390685799998</v>
      </c>
      <c r="E18" s="43">
        <f>E16-E17</f>
        <v>355.13221824000004</v>
      </c>
      <c r="F18" s="43">
        <f>F16-F17</f>
        <v>403.88665277999991</v>
      </c>
      <c r="G18" s="43">
        <f>G16-G17</f>
        <v>377.23730335500005</v>
      </c>
      <c r="H18" s="43">
        <f>H16-H17</f>
        <v>399.56997226499999</v>
      </c>
      <c r="I18" s="43">
        <f>I16-I17</f>
        <v>457.20739047999984</v>
      </c>
      <c r="J18" s="43">
        <f>J16-J17</f>
        <v>381.53174202000002</v>
      </c>
      <c r="K18" s="43">
        <f>K16-K17</f>
        <v>404.20515456000004</v>
      </c>
      <c r="L18" s="43">
        <f>L16-L17</f>
        <v>446.24819912000015</v>
      </c>
      <c r="M18" s="43">
        <f>M16-M17</f>
        <v>454.3296702450001</v>
      </c>
      <c r="N18" s="43">
        <f>N16-N17</f>
        <v>481.33042663500004</v>
      </c>
      <c r="O18" s="43">
        <f>O16-O17</f>
        <v>550.95624281999983</v>
      </c>
      <c r="P18" s="43">
        <f>P16-P17</f>
        <v>428.8202829899999</v>
      </c>
      <c r="Q18" s="43">
        <f>Q16-Q17</f>
        <v>454.28539257000011</v>
      </c>
    </row>
    <row r="19" spans="2:17" ht="15" customHeight="1" x14ac:dyDescent="0.2">
      <c r="B19" s="25" t="s">
        <v>140</v>
      </c>
      <c r="C19" s="41">
        <f>C18*Assumptions!$D$25</f>
        <v>102.99491588208004</v>
      </c>
      <c r="D19" s="41">
        <f>D18*Assumptions!$D$25</f>
        <v>77.821863910559955</v>
      </c>
      <c r="E19" s="41">
        <f>E18*Assumptions!$D$25</f>
        <v>82.390674631680014</v>
      </c>
      <c r="F19" s="41">
        <f>F18*Assumptions!$D$25</f>
        <v>93.701703444959989</v>
      </c>
      <c r="G19" s="41">
        <f>G18*Assumptions!$D$25</f>
        <v>87.519054378360011</v>
      </c>
      <c r="H19" s="41">
        <f>H18*Assumptions!$D$25</f>
        <v>92.700233565480005</v>
      </c>
      <c r="I19" s="41">
        <f>I18*Assumptions!$D$25</f>
        <v>106.07211459135996</v>
      </c>
      <c r="J19" s="41">
        <f>J18*Assumptions!$D$25</f>
        <v>88.515364148640003</v>
      </c>
      <c r="K19" s="41">
        <f>K18*Assumptions!$D$25</f>
        <v>93.77559585792001</v>
      </c>
      <c r="L19" s="41">
        <f>L18*Assumptions!$D$25</f>
        <v>103.52958219584004</v>
      </c>
      <c r="M19" s="41">
        <f>M18*Assumptions!$D$25</f>
        <v>105.40448349684003</v>
      </c>
      <c r="N19" s="41">
        <f>N18*Assumptions!$D$25</f>
        <v>111.66865897932001</v>
      </c>
      <c r="O19" s="41">
        <f>O18*Assumptions!$D$25</f>
        <v>127.82184833423997</v>
      </c>
      <c r="P19" s="41">
        <f>P18*Assumptions!$D$25</f>
        <v>99.486305653679977</v>
      </c>
      <c r="Q19" s="41">
        <f>Q18*Assumptions!$D$25</f>
        <v>105.39421107624003</v>
      </c>
    </row>
    <row r="20" spans="2:17" ht="15" customHeight="1" x14ac:dyDescent="0.2">
      <c r="B20" s="38" t="s">
        <v>141</v>
      </c>
      <c r="C20" s="43">
        <f>C18-C19</f>
        <v>340.9486870579201</v>
      </c>
      <c r="D20" s="43">
        <f>D18-D19</f>
        <v>257.61720466943984</v>
      </c>
      <c r="E20" s="43">
        <f>E18-E19</f>
        <v>272.74154360832006</v>
      </c>
      <c r="F20" s="43">
        <f>F18-F19</f>
        <v>310.1849493350399</v>
      </c>
      <c r="G20" s="43">
        <f>G18-G19</f>
        <v>289.71824897664004</v>
      </c>
      <c r="H20" s="43">
        <f>H18-H19</f>
        <v>306.86973869951998</v>
      </c>
      <c r="I20" s="43">
        <f>I18-I19</f>
        <v>351.13527588863985</v>
      </c>
      <c r="J20" s="43">
        <f>J18-J19</f>
        <v>293.01637787136002</v>
      </c>
      <c r="K20" s="43">
        <f>K18-K19</f>
        <v>310.42955870208004</v>
      </c>
      <c r="L20" s="43">
        <f>L18-L19</f>
        <v>342.71861692416013</v>
      </c>
      <c r="M20" s="43">
        <f>M18-M19</f>
        <v>348.92518674816006</v>
      </c>
      <c r="N20" s="43">
        <f>N18-N19</f>
        <v>369.66176765568002</v>
      </c>
      <c r="O20" s="43">
        <f>O18-O19</f>
        <v>423.13439448575986</v>
      </c>
      <c r="P20" s="43">
        <f>P18-P19</f>
        <v>329.33397733631989</v>
      </c>
      <c r="Q20" s="43">
        <f>Q18-Q19</f>
        <v>348.89118149376009</v>
      </c>
    </row>
    <row r="21" spans="2:17" ht="15.75" customHeight="1" x14ac:dyDescent="0.2">
      <c r="B21" s="44" t="s">
        <v>142</v>
      </c>
      <c r="C21" s="45">
        <f>C20/C7</f>
        <v>0.15643174142142371</v>
      </c>
      <c r="D21" s="45">
        <f>D20/D7</f>
        <v>0.14824410409355648</v>
      </c>
      <c r="E21" s="45">
        <f>E20/E7</f>
        <v>0.14743534634381009</v>
      </c>
      <c r="F21" s="45">
        <f>F20/F7</f>
        <v>0.15370304829590048</v>
      </c>
      <c r="G21" s="45">
        <f>G20/G7</f>
        <v>0.15054435607041958</v>
      </c>
      <c r="H21" s="45">
        <f>H20/H7</f>
        <v>0.14979262936142171</v>
      </c>
      <c r="I21" s="45">
        <f>I20/I7</f>
        <v>0.15711667569924745</v>
      </c>
      <c r="J21" s="45">
        <f>J20/J7</f>
        <v>0.15162863957289188</v>
      </c>
      <c r="K21" s="45">
        <f>K20/K7</f>
        <v>0.15090379592593881</v>
      </c>
      <c r="L21" s="45">
        <f>L20/L7</f>
        <v>0.1527165950547002</v>
      </c>
      <c r="M21" s="45">
        <f>M20/M7</f>
        <v>0.15164091011379641</v>
      </c>
      <c r="N21" s="45">
        <f>N20/N7</f>
        <v>0.1509163706951302</v>
      </c>
      <c r="O21" s="45">
        <f>O20/O7</f>
        <v>0.15835128215258079</v>
      </c>
      <c r="P21" s="45">
        <f>P20/P7</f>
        <v>0.1514207485274138</v>
      </c>
      <c r="Q21" s="45">
        <f>Q20/Q7</f>
        <v>0.15069075055701919</v>
      </c>
    </row>
    <row r="22" spans="2:17" ht="15.75" customHeight="1" x14ac:dyDescent="0.2">
      <c r="B22" s="38" t="s">
        <v>143</v>
      </c>
    </row>
    <row r="23" spans="2:17" ht="15.75" customHeight="1" x14ac:dyDescent="0.2">
      <c r="B23" s="25" t="s">
        <v>115</v>
      </c>
      <c r="C23" s="41">
        <f>SUM(F7:Q7)</f>
        <v>26372.602080000001</v>
      </c>
    </row>
    <row r="24" spans="2:17" ht="15.75" customHeight="1" x14ac:dyDescent="0.2">
      <c r="B24" s="25" t="s">
        <v>116</v>
      </c>
      <c r="C24" s="41">
        <f>SUM(F12:Q12)</f>
        <v>6039.325876320001</v>
      </c>
    </row>
    <row r="25" spans="2:17" ht="15.75" customHeight="1" x14ac:dyDescent="0.2">
      <c r="B25" s="25" t="s">
        <v>117</v>
      </c>
      <c r="C25" s="41">
        <f>SUM(F20:Q20)</f>
        <v>4024.0192741171199</v>
      </c>
    </row>
    <row r="26" spans="2:17" ht="15.75" customHeight="1" x14ac:dyDescent="0.15"/>
    <row r="27" spans="2:17" ht="15.75" customHeight="1" x14ac:dyDescent="0.15"/>
    <row r="28" spans="2:17" ht="15.75" customHeight="1" x14ac:dyDescent="0.15"/>
    <row r="29" spans="2:17" ht="15.75" customHeight="1" x14ac:dyDescent="0.15"/>
    <row r="30" spans="2:17" ht="15.75" customHeight="1" x14ac:dyDescent="0.15"/>
    <row r="31" spans="2:17" ht="15.75" customHeight="1" x14ac:dyDescent="0.15"/>
    <row r="32" spans="2:17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</sheetData>
  <mergeCells count="1">
    <mergeCell ref="B2:Q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Q100"/>
  <sheetViews>
    <sheetView showGridLines="0" zoomScaleNormal="100" workbookViewId="0"/>
  </sheetViews>
  <sheetFormatPr defaultColWidth="14.46484375" defaultRowHeight="13.5" x14ac:dyDescent="0.15"/>
  <cols>
    <col min="1" max="1" width="1.9609375" style="15" customWidth="1"/>
    <col min="2" max="2" width="33.09765625" style="15" customWidth="1"/>
    <col min="3" max="3" width="12.2578125" style="15" customWidth="1"/>
    <col min="4" max="15" width="9.31640625" style="15" customWidth="1"/>
    <col min="16" max="17" width="8.703125" style="15" customWidth="1"/>
  </cols>
  <sheetData>
    <row r="2" spans="1:17" ht="15" customHeight="1" x14ac:dyDescent="0.2">
      <c r="B2" s="120" t="str">
        <f>"Rolling Forecast  -"&amp;'Data Sheet'!B1</f>
        <v>Rolling Forecast  -NESTLE INDIA LTD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22"/>
      <c r="Q2" s="22"/>
    </row>
    <row r="3" spans="1:17" ht="15" customHeight="1" x14ac:dyDescent="0.2">
      <c r="A3" s="25"/>
      <c r="B3" s="121" t="s">
        <v>144</v>
      </c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</row>
    <row r="4" spans="1:17" ht="15" customHeight="1" x14ac:dyDescent="0.2">
      <c r="B4" s="38" t="s">
        <v>53</v>
      </c>
      <c r="C4" s="39">
        <v>46174</v>
      </c>
      <c r="D4" s="39">
        <v>46204</v>
      </c>
      <c r="E4" s="39">
        <v>46235</v>
      </c>
      <c r="F4" s="39">
        <v>46266</v>
      </c>
      <c r="G4" s="39">
        <v>46296</v>
      </c>
      <c r="H4" s="39">
        <v>46327</v>
      </c>
      <c r="I4" s="39">
        <v>46357</v>
      </c>
      <c r="J4" s="39">
        <v>46388</v>
      </c>
      <c r="K4" s="39">
        <v>46419</v>
      </c>
      <c r="L4" s="39">
        <v>46447</v>
      </c>
      <c r="M4" s="39">
        <v>46478</v>
      </c>
      <c r="N4" s="39">
        <v>46508</v>
      </c>
      <c r="O4" s="39">
        <v>46539</v>
      </c>
    </row>
    <row r="5" spans="1:17" ht="15" customHeight="1" x14ac:dyDescent="0.2">
      <c r="B5" s="44"/>
      <c r="C5" s="53" t="s">
        <v>54</v>
      </c>
      <c r="D5" s="54" t="s">
        <v>12</v>
      </c>
      <c r="E5" s="54" t="s">
        <v>12</v>
      </c>
      <c r="F5" s="54" t="s">
        <v>12</v>
      </c>
      <c r="G5" s="54" t="s">
        <v>12</v>
      </c>
      <c r="H5" s="54" t="s">
        <v>12</v>
      </c>
      <c r="I5" s="54" t="s">
        <v>12</v>
      </c>
      <c r="J5" s="54" t="s">
        <v>12</v>
      </c>
      <c r="K5" s="54" t="s">
        <v>12</v>
      </c>
      <c r="L5" s="54" t="s">
        <v>12</v>
      </c>
      <c r="M5" s="54" t="s">
        <v>12</v>
      </c>
      <c r="N5" s="54" t="s">
        <v>12</v>
      </c>
      <c r="O5" s="54" t="s">
        <v>12</v>
      </c>
    </row>
    <row r="7" spans="1:17" ht="15" customHeight="1" x14ac:dyDescent="0.2">
      <c r="B7" s="40" t="s">
        <v>145</v>
      </c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</row>
    <row r="8" spans="1:17" ht="15" customHeight="1" x14ac:dyDescent="0.2">
      <c r="B8" s="25" t="s">
        <v>36</v>
      </c>
      <c r="C8" s="41">
        <f>'Monthly Actuals'!AF9</f>
        <v>2296.1448</v>
      </c>
      <c r="D8" s="41">
        <f>'Monthly Actuals'!T$9*(1+Assumptions!$E$11)</f>
        <v>2054.7717120000002</v>
      </c>
      <c r="E8" s="41">
        <f>'Monthly Actuals'!U$9*(1+Assumptions!$E$11)</f>
        <v>1959.4613920000002</v>
      </c>
      <c r="F8" s="41">
        <f>'Monthly Actuals'!V$9*(1+Assumptions!$E$11)</f>
        <v>2085.8782560000004</v>
      </c>
      <c r="G8" s="41">
        <f>'Monthly Actuals'!W$9*(1+Assumptions!$E$11)</f>
        <v>2275.5035520000001</v>
      </c>
      <c r="H8" s="41">
        <f>'Monthly Actuals'!X$9*(1+Assumptions!$E$11)</f>
        <v>1967.5962880000002</v>
      </c>
      <c r="I8" s="41">
        <f>'Monthly Actuals'!Y$9*(1+Assumptions!$E$11)</f>
        <v>2094.5379840000001</v>
      </c>
      <c r="J8" s="41">
        <f>'Monthly Actuals'!Z$9*(1+Assumptions!$E$11)</f>
        <v>2284.9505280000003</v>
      </c>
      <c r="K8" s="41">
        <f>'Monthly Actuals'!AA$9*(1+Assumptions!$E$11)</f>
        <v>2342.832688</v>
      </c>
      <c r="L8" s="41">
        <f>'Monthly Actuals'!AB$9*(1+Assumptions!$E$11)</f>
        <v>2493.9831840000002</v>
      </c>
      <c r="M8" s="41">
        <f>'Monthly Actuals'!AC$9*(1+Assumptions!$E$11)</f>
        <v>2720.7089280000005</v>
      </c>
      <c r="N8" s="41">
        <f>'Monthly Actuals'!AD$9*(1+Assumptions!$E$11)</f>
        <v>2214.5040960000006</v>
      </c>
      <c r="O8" s="41">
        <f>'Monthly Actuals'!AE$9*(1+Assumptions!$E$11)</f>
        <v>2357.3753280000005</v>
      </c>
    </row>
    <row r="9" spans="1:17" ht="15" customHeight="1" x14ac:dyDescent="0.2">
      <c r="B9" s="25" t="s">
        <v>102</v>
      </c>
      <c r="C9" s="41">
        <f>'Monthly Actuals'!AF10</f>
        <v>1742.4179999999999</v>
      </c>
      <c r="D9" s="41">
        <f>D10+D11+D12</f>
        <v>1602.7219353600003</v>
      </c>
      <c r="E9" s="41">
        <f>E10+E11+E12</f>
        <v>1528.3798857600002</v>
      </c>
      <c r="F9" s="41">
        <f>F10+F11+F12</f>
        <v>1626.9850396800002</v>
      </c>
      <c r="G9" s="41">
        <f>G10+G11+G12</f>
        <v>1774.8927705599999</v>
      </c>
      <c r="H9" s="41">
        <f>H10+H11+H12</f>
        <v>1534.7251046400002</v>
      </c>
      <c r="I9" s="41">
        <f>I10+I11+I12</f>
        <v>1633.7396275199999</v>
      </c>
      <c r="J9" s="41">
        <f>J10+J11+J12</f>
        <v>1782.2614118400002</v>
      </c>
      <c r="K9" s="41">
        <f>K10+K11+K12</f>
        <v>1827.4094966399998</v>
      </c>
      <c r="L9" s="41">
        <f>L10+L11+L12</f>
        <v>1945.3068835200002</v>
      </c>
      <c r="M9" s="41">
        <f>M10+M11+M12</f>
        <v>2122.1529638400007</v>
      </c>
      <c r="N9" s="41">
        <f>N10+N11+N12</f>
        <v>1727.3131948800003</v>
      </c>
      <c r="O9" s="41">
        <f>O10+O11+O12</f>
        <v>1838.7527558400004</v>
      </c>
    </row>
    <row r="10" spans="1:17" ht="15" customHeight="1" x14ac:dyDescent="0.2">
      <c r="B10" s="25" t="s">
        <v>146</v>
      </c>
      <c r="C10" s="42">
        <f>'Monthly Actuals'!AF11</f>
        <v>862.49690999999996</v>
      </c>
      <c r="D10" s="42">
        <f>D8*Assumptions!$E$15</f>
        <v>811.63482624000017</v>
      </c>
      <c r="E10" s="42">
        <f>E8*Assumptions!$E$15</f>
        <v>773.98724984000012</v>
      </c>
      <c r="F10" s="42">
        <f>F8*Assumptions!$E$15</f>
        <v>823.92191112000023</v>
      </c>
      <c r="G10" s="42">
        <f>G8*Assumptions!$E$15</f>
        <v>898.82390304000012</v>
      </c>
      <c r="H10" s="42">
        <f>H8*Assumptions!$E$15</f>
        <v>777.2005337600001</v>
      </c>
      <c r="I10" s="42">
        <f>I8*Assumptions!$E$15</f>
        <v>827.34250368000005</v>
      </c>
      <c r="J10" s="42">
        <f>J8*Assumptions!$E$15</f>
        <v>902.55545856000015</v>
      </c>
      <c r="K10" s="42">
        <f>K8*Assumptions!$E$15</f>
        <v>925.41891176000001</v>
      </c>
      <c r="L10" s="42">
        <f>L8*Assumptions!$E$15</f>
        <v>985.12335768000014</v>
      </c>
      <c r="M10" s="42">
        <f>M8*Assumptions!$E$15</f>
        <v>1074.6800265600002</v>
      </c>
      <c r="N10" s="42">
        <f>N8*Assumptions!$E$15</f>
        <v>874.72911792000025</v>
      </c>
      <c r="O10" s="42">
        <f>O8*Assumptions!$E$15</f>
        <v>931.16325456000027</v>
      </c>
    </row>
    <row r="11" spans="1:17" ht="15" customHeight="1" x14ac:dyDescent="0.2">
      <c r="B11" s="25" t="s">
        <v>104</v>
      </c>
      <c r="C11" s="42">
        <f>'Monthly Actuals'!AF12</f>
        <v>229.99917600000001</v>
      </c>
      <c r="D11" s="42">
        <f>D8*Assumptions!$E$16</f>
        <v>205.47717120000004</v>
      </c>
      <c r="E11" s="42">
        <f>E8*Assumptions!$E$16</f>
        <v>195.94613920000003</v>
      </c>
      <c r="F11" s="42">
        <f>F8*Assumptions!$E$16</f>
        <v>208.58782560000006</v>
      </c>
      <c r="G11" s="42">
        <f>G8*Assumptions!$E$16</f>
        <v>227.55035520000001</v>
      </c>
      <c r="H11" s="42">
        <f>H8*Assumptions!$E$16</f>
        <v>196.75962880000003</v>
      </c>
      <c r="I11" s="42">
        <f>I8*Assumptions!$E$16</f>
        <v>209.45379840000001</v>
      </c>
      <c r="J11" s="42">
        <f>J8*Assumptions!$E$16</f>
        <v>228.49505280000005</v>
      </c>
      <c r="K11" s="42">
        <f>K8*Assumptions!$E$16</f>
        <v>234.2832688</v>
      </c>
      <c r="L11" s="42">
        <f>L8*Assumptions!$E$16</f>
        <v>249.39831840000002</v>
      </c>
      <c r="M11" s="42">
        <f>M8*Assumptions!$E$16</f>
        <v>272.07089280000008</v>
      </c>
      <c r="N11" s="42">
        <f>N8*Assumptions!$E$16</f>
        <v>221.45040960000006</v>
      </c>
      <c r="O11" s="42">
        <f>O8*Assumptions!$E$16</f>
        <v>235.73753280000005</v>
      </c>
    </row>
    <row r="12" spans="1:17" ht="15" customHeight="1" x14ac:dyDescent="0.2">
      <c r="B12" s="25" t="s">
        <v>147</v>
      </c>
      <c r="C12" s="42">
        <f>'Monthly Actuals'!AF13</f>
        <v>649.9219139999999</v>
      </c>
      <c r="D12" s="42">
        <f>D8*Assumptions!$E$17</f>
        <v>585.60993791999999</v>
      </c>
      <c r="E12" s="42">
        <f>E8*Assumptions!$E$17</f>
        <v>558.44649672000003</v>
      </c>
      <c r="F12" s="42">
        <f>F8*Assumptions!$E$17</f>
        <v>594.47530296000002</v>
      </c>
      <c r="G12" s="42">
        <f>G8*Assumptions!$E$17</f>
        <v>648.51851232000001</v>
      </c>
      <c r="H12" s="42">
        <f>H8*Assumptions!$E$17</f>
        <v>560.76494207999997</v>
      </c>
      <c r="I12" s="42">
        <f>I8*Assumptions!$E$17</f>
        <v>596.94332543999997</v>
      </c>
      <c r="J12" s="42">
        <f>J8*Assumptions!$E$17</f>
        <v>651.21090048000008</v>
      </c>
      <c r="K12" s="42">
        <f>K8*Assumptions!$E$17</f>
        <v>667.70731607999994</v>
      </c>
      <c r="L12" s="42">
        <f>L8*Assumptions!$E$17</f>
        <v>710.78520744000002</v>
      </c>
      <c r="M12" s="42">
        <f>M8*Assumptions!$E$17</f>
        <v>775.40204448000009</v>
      </c>
      <c r="N12" s="42">
        <f>N8*Assumptions!$E$17</f>
        <v>631.13366736000012</v>
      </c>
      <c r="O12" s="42">
        <f>O8*Assumptions!$E$17</f>
        <v>671.8519684800001</v>
      </c>
    </row>
    <row r="13" spans="1:17" ht="15" customHeight="1" x14ac:dyDescent="0.2">
      <c r="B13" s="38" t="s">
        <v>37</v>
      </c>
      <c r="C13" s="43">
        <f>'Monthly Actuals'!AF14</f>
        <v>553.72680000000014</v>
      </c>
      <c r="D13" s="43">
        <f>D8-D9</f>
        <v>452.04977663999989</v>
      </c>
      <c r="E13" s="43">
        <f>E8-E9</f>
        <v>431.08150623999995</v>
      </c>
      <c r="F13" s="43">
        <f>F8-F9</f>
        <v>458.89321632000019</v>
      </c>
      <c r="G13" s="43">
        <f>G8-G9</f>
        <v>500.61078144000021</v>
      </c>
      <c r="H13" s="43">
        <f>H8-H9</f>
        <v>432.87118336000003</v>
      </c>
      <c r="I13" s="43">
        <f>I8-I9</f>
        <v>460.79835648000017</v>
      </c>
      <c r="J13" s="43">
        <f>J8-J9</f>
        <v>502.68911616000014</v>
      </c>
      <c r="K13" s="43">
        <f>K8-K9</f>
        <v>515.42319136000015</v>
      </c>
      <c r="L13" s="43">
        <f>L8-L9</f>
        <v>548.67630048000001</v>
      </c>
      <c r="M13" s="43">
        <f>M8-M9</f>
        <v>598.5559641599998</v>
      </c>
      <c r="N13" s="43">
        <f>N8-N9</f>
        <v>487.19090112000026</v>
      </c>
      <c r="O13" s="43">
        <f>O8-O9</f>
        <v>518.62257216000012</v>
      </c>
    </row>
    <row r="14" spans="1:17" ht="15" customHeight="1" x14ac:dyDescent="0.2">
      <c r="B14" s="44" t="s">
        <v>106</v>
      </c>
      <c r="C14" s="45">
        <f>C13/C8</f>
        <v>0.24115500032924758</v>
      </c>
      <c r="D14" s="45">
        <f>D13/D8</f>
        <v>0.21999999999999992</v>
      </c>
      <c r="E14" s="45">
        <f>E13/E8</f>
        <v>0.21999999999999995</v>
      </c>
      <c r="F14" s="45">
        <f>F13/F8</f>
        <v>0.22000000000000006</v>
      </c>
      <c r="G14" s="45">
        <f>G13/G8</f>
        <v>0.22000000000000008</v>
      </c>
      <c r="H14" s="45">
        <f>H13/H8</f>
        <v>0.22</v>
      </c>
      <c r="I14" s="45">
        <f>I13/I8</f>
        <v>0.22000000000000008</v>
      </c>
      <c r="J14" s="45">
        <f>J13/J8</f>
        <v>0.22000000000000003</v>
      </c>
      <c r="K14" s="45">
        <f>K13/K8</f>
        <v>0.22000000000000006</v>
      </c>
      <c r="L14" s="45">
        <f>L13/L8</f>
        <v>0.22</v>
      </c>
      <c r="M14" s="45">
        <f>M13/M8</f>
        <v>0.21999999999999989</v>
      </c>
      <c r="N14" s="45">
        <f>N13/N8</f>
        <v>0.22000000000000006</v>
      </c>
      <c r="O14" s="45">
        <f>O13/O8</f>
        <v>0.22</v>
      </c>
    </row>
    <row r="15" spans="1:17" ht="15" customHeight="1" x14ac:dyDescent="0.2">
      <c r="B15" s="25" t="s">
        <v>107</v>
      </c>
      <c r="C15" s="41">
        <f>'Monthly Actuals'!AF16</f>
        <v>5.8463999999999992</v>
      </c>
      <c r="D15" s="41">
        <f>D8*Assumptions!$E$24</f>
        <v>14.383401984000002</v>
      </c>
      <c r="E15" s="41">
        <f>E8*Assumptions!$E$24</f>
        <v>13.716229744000001</v>
      </c>
      <c r="F15" s="41">
        <f>F8*Assumptions!$E$24</f>
        <v>14.601147792000003</v>
      </c>
      <c r="G15" s="41">
        <f>G8*Assumptions!$E$24</f>
        <v>15.928524864000002</v>
      </c>
      <c r="H15" s="41">
        <f>H8*Assumptions!$E$24</f>
        <v>13.773174016000002</v>
      </c>
      <c r="I15" s="41">
        <f>I8*Assumptions!$E$24</f>
        <v>14.661765888000001</v>
      </c>
      <c r="J15" s="41">
        <f>J8*Assumptions!$E$24</f>
        <v>15.994653696000002</v>
      </c>
      <c r="K15" s="41">
        <f>K8*Assumptions!$E$24</f>
        <v>16.399828815999999</v>
      </c>
      <c r="L15" s="41">
        <f>L8*Assumptions!$E$24</f>
        <v>17.457882288</v>
      </c>
      <c r="M15" s="41">
        <f>M8*Assumptions!$E$24</f>
        <v>19.044962496000004</v>
      </c>
      <c r="N15" s="41">
        <f>N8*Assumptions!$E$24</f>
        <v>15.501528672000005</v>
      </c>
      <c r="O15" s="41">
        <f>O8*Assumptions!$E$24</f>
        <v>16.501627296000002</v>
      </c>
    </row>
    <row r="16" spans="1:17" ht="15" customHeight="1" x14ac:dyDescent="0.2">
      <c r="B16" s="25" t="s">
        <v>108</v>
      </c>
      <c r="C16" s="41">
        <f>'Monthly Actuals'!AF17</f>
        <v>67.608000000000004</v>
      </c>
      <c r="D16" s="41">
        <f>'Monthly Actuals'!T$17*(1+Assumptions!$E$22)</f>
        <v>62.430731999999992</v>
      </c>
      <c r="E16" s="41">
        <f>'Monthly Actuals'!U$17*(1+Assumptions!$E$22)</f>
        <v>55.9555425</v>
      </c>
      <c r="F16" s="41">
        <f>'Monthly Actuals'!V$17*(1+Assumptions!$E$22)</f>
        <v>59.565577500000003</v>
      </c>
      <c r="G16" s="41">
        <f>'Monthly Actuals'!W$17*(1+Assumptions!$E$22)</f>
        <v>64.980629999999991</v>
      </c>
      <c r="H16" s="41">
        <f>'Monthly Actuals'!X$17*(1+Assumptions!$E$22)</f>
        <v>59.744145499999995</v>
      </c>
      <c r="I16" s="41">
        <f>'Monthly Actuals'!Y$17*(1+Assumptions!$E$22)</f>
        <v>63.598606500000002</v>
      </c>
      <c r="J16" s="41">
        <f>'Monthly Actuals'!Z$17*(1+Assumptions!$E$22)</f>
        <v>69.380297999999996</v>
      </c>
      <c r="K16" s="41">
        <f>'Monthly Actuals'!AA$17*(1+Assumptions!$E$22)</f>
        <v>70.0617515</v>
      </c>
      <c r="L16" s="41">
        <f>'Monthly Actuals'!AB$17*(1+Assumptions!$E$22)</f>
        <v>74.581864499999995</v>
      </c>
      <c r="M16" s="41">
        <f>'Monthly Actuals'!AC$17*(1+Assumptions!$E$22)</f>
        <v>81.362033999999994</v>
      </c>
      <c r="N16" s="41">
        <f>'Monthly Actuals'!AD$17*(1+Assumptions!$E$22)</f>
        <v>64.330889999999997</v>
      </c>
      <c r="O16" s="41">
        <f>'Monthly Actuals'!AE$17*(1+Assumptions!$E$22)</f>
        <v>68.481270000000009</v>
      </c>
    </row>
    <row r="17" spans="2:15" ht="15" customHeight="1" x14ac:dyDescent="0.2">
      <c r="B17" s="38" t="s">
        <v>109</v>
      </c>
      <c r="C17" s="43">
        <f>'Monthly Actuals'!AF18</f>
        <v>491.96520000000015</v>
      </c>
      <c r="D17" s="43">
        <f>D13+D15-D16</f>
        <v>404.0024466239999</v>
      </c>
      <c r="E17" s="43">
        <f>E13+E15-E16</f>
        <v>388.84219348399995</v>
      </c>
      <c r="F17" s="43">
        <f>F13+F15-F16</f>
        <v>413.92878661200018</v>
      </c>
      <c r="G17" s="43">
        <f>G13+G15-G16</f>
        <v>451.55867630400019</v>
      </c>
      <c r="H17" s="43">
        <f>H13+H15-H16</f>
        <v>386.90021187600001</v>
      </c>
      <c r="I17" s="43">
        <f>I13+I15-I16</f>
        <v>411.86151586800014</v>
      </c>
      <c r="J17" s="43">
        <f>J13+J15-J16</f>
        <v>449.30347185600016</v>
      </c>
      <c r="K17" s="43">
        <f>K13+K15-K16</f>
        <v>461.7612686760001</v>
      </c>
      <c r="L17" s="43">
        <f>L13+L15-L16</f>
        <v>491.55231826799996</v>
      </c>
      <c r="M17" s="43">
        <f>M13+M15-M16</f>
        <v>536.23889265599985</v>
      </c>
      <c r="N17" s="43">
        <f>N13+N15-N16</f>
        <v>438.36153979200026</v>
      </c>
      <c r="O17" s="43">
        <f>O13+O15-O16</f>
        <v>466.64292945600016</v>
      </c>
    </row>
    <row r="18" spans="2:15" ht="15" customHeight="1" x14ac:dyDescent="0.2">
      <c r="B18" s="25" t="s">
        <v>110</v>
      </c>
      <c r="C18" s="41">
        <f>'Monthly Actuals'!AF19</f>
        <v>15.184799999999999</v>
      </c>
      <c r="D18" s="41">
        <f>'Monthly Actuals'!T$19*(1+Assumptions!$E$23)</f>
        <v>18.315233999999997</v>
      </c>
      <c r="E18" s="41">
        <f>'Monthly Actuals'!U$19*(1+Assumptions!$E$23)</f>
        <v>15.610003499999998</v>
      </c>
      <c r="F18" s="41">
        <f>'Monthly Actuals'!V$19*(1+Assumptions!$E$23)</f>
        <v>16.617100499999999</v>
      </c>
      <c r="G18" s="41">
        <f>'Monthly Actuals'!W$19*(1+Assumptions!$E$23)</f>
        <v>18.127745999999998</v>
      </c>
      <c r="H18" s="41">
        <f>'Monthly Actuals'!X$19*(1+Assumptions!$E$23)</f>
        <v>9.5018875000000005</v>
      </c>
      <c r="I18" s="41">
        <f>'Monthly Actuals'!Y$19*(1+Assumptions!$E$23)</f>
        <v>10.114912499999999</v>
      </c>
      <c r="J18" s="41">
        <f>'Monthly Actuals'!Z$19*(1+Assumptions!$E$23)</f>
        <v>11.03445</v>
      </c>
      <c r="K18" s="41">
        <f>'Monthly Actuals'!AA$19*(1+Assumptions!$E$23)</f>
        <v>12.364226</v>
      </c>
      <c r="L18" s="41">
        <f>'Monthly Actuals'!AB$19*(1+Assumptions!$E$23)</f>
        <v>13.161918</v>
      </c>
      <c r="M18" s="41">
        <f>'Monthly Actuals'!AC$19*(1+Assumptions!$E$23)</f>
        <v>14.358455999999999</v>
      </c>
      <c r="N18" s="41">
        <f>'Monthly Actuals'!AD$19*(1+Assumptions!$E$23)</f>
        <v>14.187242999999999</v>
      </c>
      <c r="O18" s="41">
        <f>'Monthly Actuals'!AE$19*(1+Assumptions!$E$23)</f>
        <v>15.102549000000002</v>
      </c>
    </row>
    <row r="19" spans="2:15" ht="15" customHeight="1" x14ac:dyDescent="0.2">
      <c r="B19" s="38" t="s">
        <v>111</v>
      </c>
      <c r="C19" s="43">
        <f>'Monthly Actuals'!AF20</f>
        <v>476.78040000000016</v>
      </c>
      <c r="D19" s="43">
        <f>D17-D18</f>
        <v>385.68721262399993</v>
      </c>
      <c r="E19" s="43">
        <f>E17-E18</f>
        <v>373.23218998399994</v>
      </c>
      <c r="F19" s="43">
        <f>F17-F18</f>
        <v>397.31168611200019</v>
      </c>
      <c r="G19" s="43">
        <f>G17-G18</f>
        <v>433.43093030400019</v>
      </c>
      <c r="H19" s="43">
        <f>H17-H18</f>
        <v>377.39832437600001</v>
      </c>
      <c r="I19" s="43">
        <f>I17-I18</f>
        <v>401.74660336800014</v>
      </c>
      <c r="J19" s="43">
        <f>J17-J18</f>
        <v>438.26902185600017</v>
      </c>
      <c r="K19" s="43">
        <f>K17-K18</f>
        <v>449.39704267600013</v>
      </c>
      <c r="L19" s="43">
        <f>L17-L18</f>
        <v>478.39040026799995</v>
      </c>
      <c r="M19" s="43">
        <f>M17-M18</f>
        <v>521.8804366559998</v>
      </c>
      <c r="N19" s="43">
        <f>N17-N18</f>
        <v>424.17429679200023</v>
      </c>
      <c r="O19" s="43">
        <f>O17-O18</f>
        <v>451.54038045600015</v>
      </c>
    </row>
    <row r="20" spans="2:15" ht="15" customHeight="1" x14ac:dyDescent="0.2">
      <c r="B20" s="25" t="s">
        <v>112</v>
      </c>
      <c r="C20" s="41">
        <f>'Monthly Actuals'!AF21</f>
        <v>125.73719999999999</v>
      </c>
      <c r="D20" s="41">
        <f>D19*Assumptions!$E$25</f>
        <v>90.636494966639972</v>
      </c>
      <c r="E20" s="41">
        <f>E19*Assumptions!$E$25</f>
        <v>87.709564646239983</v>
      </c>
      <c r="F20" s="41">
        <f>F19*Assumptions!$E$25</f>
        <v>93.368246236320033</v>
      </c>
      <c r="G20" s="41">
        <f>G19*Assumptions!$E$25</f>
        <v>101.85626862144004</v>
      </c>
      <c r="H20" s="41">
        <f>H19*Assumptions!$E$25</f>
        <v>88.688606228360001</v>
      </c>
      <c r="I20" s="41">
        <f>I19*Assumptions!$E$25</f>
        <v>94.410451791480028</v>
      </c>
      <c r="J20" s="41">
        <f>J19*Assumptions!$E$25</f>
        <v>102.99322013616003</v>
      </c>
      <c r="K20" s="41">
        <f>K19*Assumptions!$E$25</f>
        <v>105.60830502886003</v>
      </c>
      <c r="L20" s="41">
        <f>L19*Assumptions!$E$25</f>
        <v>112.42174406297998</v>
      </c>
      <c r="M20" s="41">
        <f>M19*Assumptions!$E$25</f>
        <v>122.64190261415995</v>
      </c>
      <c r="N20" s="41">
        <f>N19*Assumptions!$E$25</f>
        <v>99.680959746120053</v>
      </c>
      <c r="O20" s="41">
        <f>O19*Assumptions!$E$25</f>
        <v>106.11198940716002</v>
      </c>
    </row>
    <row r="21" spans="2:15" ht="15.75" customHeight="1" x14ac:dyDescent="0.2">
      <c r="B21" s="38" t="s">
        <v>39</v>
      </c>
      <c r="C21" s="43">
        <f>'Monthly Actuals'!AF22</f>
        <v>351.04320000000018</v>
      </c>
      <c r="D21" s="43">
        <f>D19-D20</f>
        <v>295.05071765735994</v>
      </c>
      <c r="E21" s="43">
        <f>E19-E20</f>
        <v>285.52262533775996</v>
      </c>
      <c r="F21" s="43">
        <f>F19-F20</f>
        <v>303.94343987568016</v>
      </c>
      <c r="G21" s="43">
        <f>G19-G20</f>
        <v>331.57466168256013</v>
      </c>
      <c r="H21" s="43">
        <f>H19-H20</f>
        <v>288.70971814763999</v>
      </c>
      <c r="I21" s="43">
        <f>I19-I20</f>
        <v>307.33615157652014</v>
      </c>
      <c r="J21" s="43">
        <f>J19-J20</f>
        <v>335.27580171984016</v>
      </c>
      <c r="K21" s="43">
        <f>K19-K20</f>
        <v>343.78873764714012</v>
      </c>
      <c r="L21" s="43">
        <f>L19-L20</f>
        <v>365.96865620501995</v>
      </c>
      <c r="M21" s="43">
        <f>M19-M20</f>
        <v>399.23853404183984</v>
      </c>
      <c r="N21" s="43">
        <f>N19-N20</f>
        <v>324.4933370458802</v>
      </c>
      <c r="O21" s="43">
        <f>O19-O20</f>
        <v>345.42839104884013</v>
      </c>
    </row>
    <row r="22" spans="2:15" ht="15.75" customHeight="1" x14ac:dyDescent="0.2">
      <c r="B22" s="44" t="s">
        <v>142</v>
      </c>
      <c r="C22" s="45">
        <f>C21/C8</f>
        <v>0.15288373799422414</v>
      </c>
      <c r="D22" s="45">
        <f>D21/D8</f>
        <v>0.14359294316455914</v>
      </c>
      <c r="E22" s="45">
        <f>E21/E8</f>
        <v>0.14571485128692954</v>
      </c>
      <c r="F22" s="45">
        <f>F21/F8</f>
        <v>0.14571485128692963</v>
      </c>
      <c r="G22" s="45">
        <f>G21/G8</f>
        <v>0.14571485128692963</v>
      </c>
      <c r="H22" s="45">
        <f>H21/H8</f>
        <v>0.14673219293430581</v>
      </c>
      <c r="I22" s="45">
        <f>I21/I8</f>
        <v>0.14673219293430589</v>
      </c>
      <c r="J22" s="45">
        <f>J21/J8</f>
        <v>0.14673219293430589</v>
      </c>
      <c r="K22" s="45">
        <f>K21/K8</f>
        <v>0.14674062702301691</v>
      </c>
      <c r="L22" s="45">
        <f>L21/L8</f>
        <v>0.14674062702301682</v>
      </c>
      <c r="M22" s="45">
        <f>M21/M8</f>
        <v>0.14674062702301677</v>
      </c>
      <c r="N22" s="45">
        <f>N21/N8</f>
        <v>0.14653092655461952</v>
      </c>
      <c r="O22" s="45">
        <f>O21/O8</f>
        <v>0.1465309265546195</v>
      </c>
    </row>
    <row r="23" spans="2:15" ht="15.75" customHeight="1" x14ac:dyDescent="0.15"/>
    <row r="24" spans="2:15" ht="15.75" customHeight="1" x14ac:dyDescent="0.2">
      <c r="B24" s="38" t="s">
        <v>148</v>
      </c>
    </row>
    <row r="25" spans="2:15" ht="15.75" customHeight="1" x14ac:dyDescent="0.2">
      <c r="B25" s="25" t="s">
        <v>115</v>
      </c>
      <c r="C25" s="41">
        <f>SUM(D8:O8)</f>
        <v>26852.103936000003</v>
      </c>
    </row>
    <row r="26" spans="2:15" ht="15.75" customHeight="1" x14ac:dyDescent="0.2">
      <c r="B26" s="25" t="s">
        <v>116</v>
      </c>
      <c r="C26" s="41">
        <f>SUM(D13:O13)</f>
        <v>5907.4628659200007</v>
      </c>
    </row>
    <row r="27" spans="2:15" ht="15.75" customHeight="1" x14ac:dyDescent="0.2">
      <c r="B27" s="25" t="s">
        <v>117</v>
      </c>
      <c r="C27" s="41">
        <f>SUM(D21:O21)</f>
        <v>3926.3307719860809</v>
      </c>
    </row>
    <row r="28" spans="2:15" ht="15.75" customHeight="1" x14ac:dyDescent="0.15"/>
    <row r="29" spans="2:15" ht="15.75" customHeight="1" x14ac:dyDescent="0.15"/>
    <row r="30" spans="2:15" ht="15.75" customHeight="1" x14ac:dyDescent="0.15"/>
    <row r="31" spans="2:15" ht="15.75" customHeight="1" x14ac:dyDescent="0.15"/>
    <row r="32" spans="2:15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</sheetData>
  <mergeCells count="2">
    <mergeCell ref="B2:O2"/>
    <mergeCell ref="B3:Q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K100"/>
  <sheetViews>
    <sheetView showGridLines="0" zoomScaleNormal="100" workbookViewId="0"/>
  </sheetViews>
  <sheetFormatPr defaultColWidth="14.46484375" defaultRowHeight="13.5" x14ac:dyDescent="0.15"/>
  <cols>
    <col min="1" max="1" width="1.9609375" style="15" customWidth="1"/>
    <col min="2" max="2" width="24.515625" style="15" customWidth="1"/>
    <col min="3" max="5" width="13.1171875" style="15" customWidth="1"/>
    <col min="6" max="11" width="8.703125" style="15" customWidth="1"/>
  </cols>
  <sheetData>
    <row r="2" spans="2:5" ht="15" customHeight="1" x14ac:dyDescent="0.2">
      <c r="B2" s="120" t="str">
        <f>"Budget vs Actual (Apr-26 to Jun-26) -"&amp;'Data Sheet'!B1</f>
        <v>Budget vs Actual (Apr-26 to Jun-26) -NESTLE INDIA LTD</v>
      </c>
      <c r="C2" s="120"/>
      <c r="D2" s="120"/>
      <c r="E2" s="120"/>
    </row>
    <row r="4" spans="2:5" ht="15" customHeight="1" x14ac:dyDescent="0.2">
      <c r="B4" s="38" t="s">
        <v>53</v>
      </c>
      <c r="C4" s="39">
        <v>46113</v>
      </c>
      <c r="D4" s="39">
        <v>46143</v>
      </c>
      <c r="E4" s="39">
        <v>46174</v>
      </c>
    </row>
    <row r="6" spans="2:5" ht="15" customHeight="1" x14ac:dyDescent="0.2">
      <c r="B6" s="40" t="s">
        <v>36</v>
      </c>
      <c r="C6" s="40"/>
      <c r="D6" s="40"/>
      <c r="E6" s="40"/>
    </row>
    <row r="7" spans="2:5" ht="15" customHeight="1" x14ac:dyDescent="0.2">
      <c r="B7" s="25" t="s">
        <v>149</v>
      </c>
      <c r="C7" s="41">
        <f>'Monthly Budget'!C7</f>
        <v>2179.5364800000002</v>
      </c>
      <c r="D7" s="41">
        <f>'Monthly Budget'!D7</f>
        <v>1737.7905600000001</v>
      </c>
      <c r="E7" s="41">
        <f>'Monthly Budget'!E7</f>
        <v>1849.9060800000002</v>
      </c>
    </row>
    <row r="8" spans="2:5" ht="15" customHeight="1" x14ac:dyDescent="0.2">
      <c r="B8" s="25" t="s">
        <v>150</v>
      </c>
      <c r="C8" s="41">
        <f>'Monthly Actuals'!AD9</f>
        <v>1977.2358000000002</v>
      </c>
      <c r="D8" s="41">
        <f>'Monthly Actuals'!AE9</f>
        <v>2104.7994000000003</v>
      </c>
      <c r="E8" s="41">
        <f>'Monthly Actuals'!AF9</f>
        <v>2296.1448</v>
      </c>
    </row>
    <row r="9" spans="2:5" ht="15" customHeight="1" x14ac:dyDescent="0.2">
      <c r="B9" s="25" t="s">
        <v>151</v>
      </c>
      <c r="C9" s="41">
        <f>C8-C7</f>
        <v>-202.30068000000006</v>
      </c>
      <c r="D9" s="41">
        <f>D8-D7</f>
        <v>367.00884000000019</v>
      </c>
      <c r="E9" s="41">
        <f>E8-E7</f>
        <v>446.23871999999983</v>
      </c>
    </row>
    <row r="10" spans="2:5" ht="15" customHeight="1" x14ac:dyDescent="0.2">
      <c r="B10" s="25" t="s">
        <v>152</v>
      </c>
      <c r="C10" s="55">
        <f>IFERROR((C8-C7)/ABS(C7),0)</f>
        <v>-9.2818212430195265E-2</v>
      </c>
      <c r="D10" s="55">
        <f>IFERROR((D8-D7)/ABS(D7),0)</f>
        <v>0.21119279184023199</v>
      </c>
      <c r="E10" s="55">
        <f>IFERROR((E8-E7)/ABS(E7),0)</f>
        <v>0.24122236519164247</v>
      </c>
    </row>
    <row r="12" spans="2:5" ht="15" customHeight="1" x14ac:dyDescent="0.2">
      <c r="B12" s="40" t="s">
        <v>58</v>
      </c>
      <c r="C12" s="40"/>
      <c r="D12" s="40"/>
      <c r="E12" s="40"/>
    </row>
    <row r="13" spans="2:5" ht="15" customHeight="1" x14ac:dyDescent="0.2">
      <c r="B13" s="25" t="s">
        <v>149</v>
      </c>
      <c r="C13" s="41">
        <f>'Monthly Budget'!C9</f>
        <v>845.66015424000011</v>
      </c>
      <c r="D13" s="41">
        <f>'Monthly Budget'!D9</f>
        <v>674.26273728000012</v>
      </c>
      <c r="E13" s="41">
        <f>'Monthly Budget'!E9</f>
        <v>717.76355904000013</v>
      </c>
    </row>
    <row r="14" spans="2:5" ht="15" customHeight="1" x14ac:dyDescent="0.2">
      <c r="B14" s="25" t="s">
        <v>150</v>
      </c>
      <c r="C14" s="41">
        <f>'Monthly Actuals'!AD11</f>
        <v>742.70567249999999</v>
      </c>
      <c r="D14" s="41">
        <f>'Monthly Actuals'!AE11</f>
        <v>790.62216750000016</v>
      </c>
      <c r="E14" s="41">
        <f>'Monthly Actuals'!AF11</f>
        <v>862.49690999999996</v>
      </c>
    </row>
    <row r="15" spans="2:5" ht="15" customHeight="1" x14ac:dyDescent="0.2">
      <c r="B15" s="25" t="s">
        <v>151</v>
      </c>
      <c r="C15" s="41">
        <f>C14-C13</f>
        <v>-102.95448174000012</v>
      </c>
      <c r="D15" s="41">
        <f>D14-D13</f>
        <v>116.35943022000004</v>
      </c>
      <c r="E15" s="41">
        <f>E14-E13</f>
        <v>144.73335095999983</v>
      </c>
    </row>
    <row r="16" spans="2:5" ht="15" customHeight="1" x14ac:dyDescent="0.2">
      <c r="B16" s="25" t="s">
        <v>152</v>
      </c>
      <c r="C16" s="55">
        <f>IFERROR((C14-C13)/ABS(C13),0)</f>
        <v>-0.1217445107515157</v>
      </c>
      <c r="D16" s="55">
        <f>IFERROR((D14-D13)/ABS(D13),0)</f>
        <v>0.17257283220098757</v>
      </c>
      <c r="E16" s="55">
        <f>IFERROR((E14-E13)/ABS(E13),0)</f>
        <v>0.20164488589192087</v>
      </c>
    </row>
    <row r="18" spans="2:11" ht="15" customHeight="1" x14ac:dyDescent="0.2">
      <c r="B18" s="40" t="s">
        <v>59</v>
      </c>
      <c r="C18" s="40"/>
      <c r="D18" s="40"/>
      <c r="E18" s="40"/>
    </row>
    <row r="19" spans="2:11" ht="15" customHeight="1" x14ac:dyDescent="0.2">
      <c r="B19" s="25" t="s">
        <v>149</v>
      </c>
      <c r="C19" s="41">
        <f>'Monthly Budget'!C10</f>
        <v>222.31272096000001</v>
      </c>
      <c r="D19" s="41">
        <f>'Monthly Budget'!D10</f>
        <v>177.25463712000001</v>
      </c>
      <c r="E19" s="41">
        <f>'Monthly Budget'!E10</f>
        <v>188.69042016</v>
      </c>
    </row>
    <row r="20" spans="2:11" ht="15" customHeight="1" x14ac:dyDescent="0.2">
      <c r="B20" s="25" t="s">
        <v>150</v>
      </c>
      <c r="C20" s="41">
        <f>'Monthly Actuals'!AD12</f>
        <v>198.05484600000003</v>
      </c>
      <c r="D20" s="41">
        <f>'Monthly Actuals'!AE12</f>
        <v>210.83257800000004</v>
      </c>
      <c r="E20" s="41">
        <f>'Monthly Actuals'!AF12</f>
        <v>229.99917600000001</v>
      </c>
    </row>
    <row r="21" spans="2:11" ht="15.75" customHeight="1" x14ac:dyDescent="0.2">
      <c r="B21" s="25" t="s">
        <v>151</v>
      </c>
      <c r="C21" s="41">
        <f>C20-C19</f>
        <v>-24.257874959999981</v>
      </c>
      <c r="D21" s="41">
        <f>D20-D19</f>
        <v>33.577940880000028</v>
      </c>
      <c r="E21" s="41">
        <f>E20-E19</f>
        <v>41.308755840000003</v>
      </c>
    </row>
    <row r="22" spans="2:11" ht="15.75" customHeight="1" x14ac:dyDescent="0.2">
      <c r="B22" s="25" t="s">
        <v>152</v>
      </c>
      <c r="C22" s="55">
        <f>IFERROR((C20-C19)/ABS(C19),0)</f>
        <v>-0.10911600044859611</v>
      </c>
      <c r="D22" s="55">
        <f>IFERROR((D20-D19)/ABS(D19),0)</f>
        <v>0.18943335658557708</v>
      </c>
      <c r="E22" s="55">
        <f>IFERROR((E20-E19)/ABS(E19),0)</f>
        <v>0.21892343980670695</v>
      </c>
    </row>
    <row r="23" spans="2:11" ht="15.75" customHeight="1" x14ac:dyDescent="0.15"/>
    <row r="24" spans="2:11" ht="15.75" customHeight="1" x14ac:dyDescent="0.2">
      <c r="B24" s="40" t="s">
        <v>60</v>
      </c>
      <c r="C24" s="40"/>
      <c r="D24" s="40"/>
      <c r="E24" s="40"/>
    </row>
    <row r="25" spans="2:11" ht="15.75" customHeight="1" x14ac:dyDescent="0.2">
      <c r="B25" s="25" t="s">
        <v>149</v>
      </c>
      <c r="C25" s="41">
        <f>'Monthly Budget'!C11</f>
        <v>612.44975088000012</v>
      </c>
      <c r="D25" s="41">
        <f>'Monthly Budget'!D11</f>
        <v>488.3191473600001</v>
      </c>
      <c r="E25" s="41">
        <f>'Monthly Budget'!E11</f>
        <v>519.82360848000008</v>
      </c>
    </row>
    <row r="26" spans="2:11" ht="15.75" customHeight="1" x14ac:dyDescent="0.2">
      <c r="B26" s="25" t="s">
        <v>150</v>
      </c>
      <c r="C26" s="41">
        <f>'Monthly Actuals'!AD13</f>
        <v>559.65498150000008</v>
      </c>
      <c r="D26" s="41">
        <f>'Monthly Actuals'!AE13</f>
        <v>595.76175450000005</v>
      </c>
      <c r="E26" s="41">
        <f>'Monthly Actuals'!AF13</f>
        <v>649.9219139999999</v>
      </c>
      <c r="K26" s="56"/>
    </row>
    <row r="27" spans="2:11" ht="15.75" customHeight="1" x14ac:dyDescent="0.2">
      <c r="B27" s="25" t="s">
        <v>151</v>
      </c>
      <c r="C27" s="41">
        <f>C26-C25</f>
        <v>-52.794769380000048</v>
      </c>
      <c r="D27" s="41">
        <f>D26-D25</f>
        <v>107.44260713999995</v>
      </c>
      <c r="E27" s="41">
        <f>E26-E25</f>
        <v>130.09830551999983</v>
      </c>
    </row>
    <row r="28" spans="2:11" ht="15.75" customHeight="1" x14ac:dyDescent="0.2">
      <c r="B28" s="25" t="s">
        <v>152</v>
      </c>
      <c r="C28" s="55">
        <f>IFERROR((C26-C25)/ABS(C25),0)</f>
        <v>-8.6202613853857787E-2</v>
      </c>
      <c r="D28" s="55">
        <f>IFERROR((D26-D25)/ABS(D25),0)</f>
        <v>0.22002538241817249</v>
      </c>
      <c r="E28" s="55">
        <f>IFERROR((E26-E25)/ABS(E25),0)</f>
        <v>0.25027394561862282</v>
      </c>
    </row>
    <row r="29" spans="2:11" ht="15.75" customHeight="1" x14ac:dyDescent="0.15"/>
    <row r="30" spans="2:11" ht="15.75" customHeight="1" x14ac:dyDescent="0.2">
      <c r="B30" s="40" t="s">
        <v>37</v>
      </c>
      <c r="C30" s="40"/>
      <c r="D30" s="40"/>
      <c r="E30" s="40"/>
    </row>
    <row r="31" spans="2:11" ht="15.75" customHeight="1" x14ac:dyDescent="0.2">
      <c r="B31" s="25" t="s">
        <v>149</v>
      </c>
      <c r="C31" s="41">
        <f>'Monthly Budget'!C12</f>
        <v>499.11385392000011</v>
      </c>
      <c r="D31" s="41">
        <f>'Monthly Budget'!D12</f>
        <v>397.95403823999982</v>
      </c>
      <c r="E31" s="41">
        <f>'Monthly Budget'!E12</f>
        <v>423.62849232000008</v>
      </c>
    </row>
    <row r="32" spans="2:11" ht="15.75" customHeight="1" x14ac:dyDescent="0.2">
      <c r="B32" s="25" t="s">
        <v>150</v>
      </c>
      <c r="C32" s="41">
        <f>'Monthly Actuals'!AD14</f>
        <v>476.82030000000009</v>
      </c>
      <c r="D32" s="41">
        <f>'Monthly Actuals'!AE14</f>
        <v>507.58290000000011</v>
      </c>
      <c r="E32" s="41">
        <f>'Monthly Actuals'!AF14</f>
        <v>553.72680000000014</v>
      </c>
    </row>
    <row r="33" spans="2:5" ht="15.75" customHeight="1" x14ac:dyDescent="0.2">
      <c r="B33" s="25" t="s">
        <v>151</v>
      </c>
      <c r="C33" s="41">
        <f>C32-C31</f>
        <v>-22.293553920000022</v>
      </c>
      <c r="D33" s="41">
        <f>D32-D31</f>
        <v>109.62886176000029</v>
      </c>
      <c r="E33" s="41">
        <f>E32-E31</f>
        <v>130.09830768000006</v>
      </c>
    </row>
    <row r="34" spans="2:5" ht="15.75" customHeight="1" x14ac:dyDescent="0.2">
      <c r="B34" s="25" t="s">
        <v>152</v>
      </c>
      <c r="C34" s="55">
        <f>IFERROR((C32-C31)/ABS(C31),0)</f>
        <v>-4.4666269519285512E-2</v>
      </c>
      <c r="D34" s="55">
        <f>IFERROR((D32-D31)/ABS(D31),0)</f>
        <v>0.27548121447604168</v>
      </c>
      <c r="E34" s="55">
        <f>IFERROR((E32-E31)/ABS(E31),0)</f>
        <v>0.3071047156613973</v>
      </c>
    </row>
    <row r="35" spans="2:5" ht="15.75" customHeight="1" x14ac:dyDescent="0.15"/>
    <row r="36" spans="2:5" ht="15.75" customHeight="1" x14ac:dyDescent="0.2">
      <c r="B36" s="40" t="s">
        <v>108</v>
      </c>
      <c r="C36" s="40"/>
      <c r="D36" s="40"/>
      <c r="E36" s="40"/>
    </row>
    <row r="37" spans="2:5" ht="15.75" customHeight="1" x14ac:dyDescent="0.2">
      <c r="B37" s="25" t="s">
        <v>149</v>
      </c>
      <c r="C37" s="41">
        <f>'Monthly Budget'!C15</f>
        <v>53.711145600000009</v>
      </c>
      <c r="D37" s="41">
        <f>'Monthly Budget'!D15</f>
        <v>57.176380800000004</v>
      </c>
      <c r="E37" s="41">
        <f>'Monthly Budget'!E15</f>
        <v>62.374233600000004</v>
      </c>
    </row>
    <row r="38" spans="2:5" ht="15.75" customHeight="1" x14ac:dyDescent="0.2">
      <c r="B38" s="25" t="s">
        <v>150</v>
      </c>
      <c r="C38" s="41">
        <f>'Monthly Actuals'!AD17</f>
        <v>58.218000000000004</v>
      </c>
      <c r="D38" s="41">
        <f>'Monthly Actuals'!AE17</f>
        <v>61.974000000000004</v>
      </c>
      <c r="E38" s="41">
        <f>'Monthly Actuals'!AF17</f>
        <v>67.608000000000004</v>
      </c>
    </row>
    <row r="39" spans="2:5" ht="15.75" customHeight="1" x14ac:dyDescent="0.2">
      <c r="B39" s="25" t="s">
        <v>151</v>
      </c>
      <c r="C39" s="41">
        <f>C38-C37</f>
        <v>4.5068543999999946</v>
      </c>
      <c r="D39" s="41">
        <f>D38-D37</f>
        <v>4.7976191999999998</v>
      </c>
      <c r="E39" s="41">
        <f>E38-E37</f>
        <v>5.2337664000000004</v>
      </c>
    </row>
    <row r="40" spans="2:5" ht="15.75" customHeight="1" x14ac:dyDescent="0.2">
      <c r="B40" s="25" t="s">
        <v>152</v>
      </c>
      <c r="C40" s="55">
        <f>IFERROR((C38-C37)/ABS(C37),0)</f>
        <v>8.3909109546157101E-2</v>
      </c>
      <c r="D40" s="55">
        <f>IFERROR((D38-D37)/ABS(D37),0)</f>
        <v>8.3909109546157198E-2</v>
      </c>
      <c r="E40" s="55">
        <f>IFERROR((E38-E37)/ABS(E37),0)</f>
        <v>8.3909109546157212E-2</v>
      </c>
    </row>
    <row r="41" spans="2:5" ht="15.75" customHeight="1" x14ac:dyDescent="0.15"/>
    <row r="42" spans="2:5" ht="15.75" customHeight="1" x14ac:dyDescent="0.2">
      <c r="B42" s="40" t="s">
        <v>110</v>
      </c>
      <c r="C42" s="40"/>
      <c r="D42" s="40"/>
      <c r="E42" s="40"/>
    </row>
    <row r="43" spans="2:5" ht="15.75" customHeight="1" x14ac:dyDescent="0.2">
      <c r="B43" s="25" t="s">
        <v>149</v>
      </c>
      <c r="C43" s="41">
        <f>'Monthly Budget'!C17</f>
        <v>15.626092499999999</v>
      </c>
      <c r="D43" s="41">
        <f>'Monthly Budget'!D17</f>
        <v>16.634227500000001</v>
      </c>
      <c r="E43" s="41">
        <f>'Monthly Budget'!E17</f>
        <v>18.146429999999999</v>
      </c>
    </row>
    <row r="44" spans="2:5" ht="15.75" customHeight="1" x14ac:dyDescent="0.2">
      <c r="B44" s="25" t="s">
        <v>150</v>
      </c>
      <c r="C44" s="41">
        <f>'Monthly Actuals'!AD19</f>
        <v>13.075799999999999</v>
      </c>
      <c r="D44" s="41">
        <f>'Monthly Actuals'!AE19</f>
        <v>13.919400000000001</v>
      </c>
      <c r="E44" s="41">
        <f>'Monthly Actuals'!AF19</f>
        <v>15.184799999999999</v>
      </c>
    </row>
    <row r="45" spans="2:5" ht="15.75" customHeight="1" x14ac:dyDescent="0.2">
      <c r="B45" s="25" t="s">
        <v>151</v>
      </c>
      <c r="C45" s="41">
        <f>C44-C43</f>
        <v>-2.5502924999999994</v>
      </c>
      <c r="D45" s="41">
        <f>D44-D43</f>
        <v>-2.7148275000000002</v>
      </c>
      <c r="E45" s="41">
        <f>E44-E43</f>
        <v>-2.9616299999999995</v>
      </c>
    </row>
    <row r="46" spans="2:5" ht="15.75" customHeight="1" x14ac:dyDescent="0.2">
      <c r="B46" s="25" t="s">
        <v>152</v>
      </c>
      <c r="C46" s="55">
        <f>IFERROR((C44-C43)/ABS(C43),0)</f>
        <v>-0.16320730854498652</v>
      </c>
      <c r="D46" s="55">
        <f>IFERROR((D44-D43)/ABS(D43),0)</f>
        <v>-0.16320730854498652</v>
      </c>
      <c r="E46" s="55">
        <f>IFERROR((E44-E43)/ABS(E43),0)</f>
        <v>-0.16320730854498652</v>
      </c>
    </row>
    <row r="47" spans="2:5" ht="15.75" customHeight="1" x14ac:dyDescent="0.2">
      <c r="B47" s="25"/>
      <c r="C47" s="55"/>
      <c r="D47" s="55"/>
      <c r="E47" s="55"/>
    </row>
    <row r="48" spans="2:5" ht="15.75" customHeight="1" x14ac:dyDescent="0.2">
      <c r="B48" s="40" t="s">
        <v>112</v>
      </c>
      <c r="C48" s="40"/>
      <c r="D48" s="40"/>
      <c r="E48" s="40"/>
    </row>
    <row r="49" spans="2:5" ht="15.75" customHeight="1" x14ac:dyDescent="0.2">
      <c r="B49" s="25" t="s">
        <v>149</v>
      </c>
      <c r="C49" s="41">
        <f>'Monthly Budget'!C19</f>
        <v>102.99491588208004</v>
      </c>
      <c r="D49" s="41">
        <f>'Monthly Budget'!D19</f>
        <v>77.821863910559955</v>
      </c>
      <c r="E49" s="41">
        <f>'Monthly Budget'!E19</f>
        <v>82.390674631680014</v>
      </c>
    </row>
    <row r="50" spans="2:5" ht="15.75" customHeight="1" x14ac:dyDescent="0.2">
      <c r="B50" s="25" t="s">
        <v>150</v>
      </c>
      <c r="C50" s="41">
        <f>'Monthly Actuals'!AD21</f>
        <v>108.27369999999999</v>
      </c>
      <c r="D50" s="41">
        <f>'Monthly Actuals'!AE21</f>
        <v>115.2591</v>
      </c>
      <c r="E50" s="41">
        <f>'Monthly Actuals'!AF21</f>
        <v>125.73719999999999</v>
      </c>
    </row>
    <row r="51" spans="2:5" ht="15.75" customHeight="1" x14ac:dyDescent="0.2">
      <c r="B51" s="25" t="s">
        <v>151</v>
      </c>
      <c r="C51" s="41">
        <f>C50-C49</f>
        <v>5.2787841179199546</v>
      </c>
      <c r="D51" s="41">
        <f>D50-D49</f>
        <v>37.437236089440049</v>
      </c>
      <c r="E51" s="41">
        <f>E50-E49</f>
        <v>43.346525368319973</v>
      </c>
    </row>
    <row r="52" spans="2:5" ht="15.75" customHeight="1" x14ac:dyDescent="0.2">
      <c r="B52" s="25" t="s">
        <v>152</v>
      </c>
      <c r="C52" s="55">
        <f>IFERROR((C50-C49)/ABS(C49),0)</f>
        <v>5.1252861102034301E-2</v>
      </c>
      <c r="D52" s="55">
        <f>IFERROR((D50-D49)/ABS(D49),0)</f>
        <v>0.4810632155054313</v>
      </c>
      <c r="E52" s="55">
        <f>IFERROR((E50-E49)/ABS(E49),0)</f>
        <v>0.5261096059972401</v>
      </c>
    </row>
    <row r="53" spans="2:5" ht="15.75" customHeight="1" x14ac:dyDescent="0.15"/>
    <row r="54" spans="2:5" ht="15.75" customHeight="1" x14ac:dyDescent="0.2">
      <c r="B54" s="40" t="s">
        <v>39</v>
      </c>
      <c r="C54" s="40"/>
      <c r="D54" s="40"/>
      <c r="E54" s="40"/>
    </row>
    <row r="55" spans="2:5" ht="15.75" customHeight="1" x14ac:dyDescent="0.2">
      <c r="B55" s="25" t="s">
        <v>149</v>
      </c>
      <c r="C55" s="41">
        <f>'Monthly Budget'!C20</f>
        <v>340.9486870579201</v>
      </c>
      <c r="D55" s="41">
        <f>'Monthly Budget'!D20</f>
        <v>257.61720466943984</v>
      </c>
      <c r="E55" s="41">
        <f>'Monthly Budget'!E20</f>
        <v>272.74154360832006</v>
      </c>
    </row>
    <row r="56" spans="2:5" ht="15.75" customHeight="1" x14ac:dyDescent="0.2">
      <c r="B56" s="25" t="s">
        <v>150</v>
      </c>
      <c r="C56" s="41">
        <f>'Monthly Actuals'!AD22</f>
        <v>302.2872000000001</v>
      </c>
      <c r="D56" s="41">
        <f>'Monthly Actuals'!AE22</f>
        <v>321.78960000000012</v>
      </c>
      <c r="E56" s="41">
        <f>'Monthly Actuals'!AF22</f>
        <v>351.04320000000018</v>
      </c>
    </row>
    <row r="57" spans="2:5" ht="15.75" customHeight="1" x14ac:dyDescent="0.2">
      <c r="B57" s="25" t="s">
        <v>151</v>
      </c>
      <c r="C57" s="41">
        <f>C56-C55</f>
        <v>-38.661487057919999</v>
      </c>
      <c r="D57" s="41">
        <f>D56-D55</f>
        <v>64.172395330560278</v>
      </c>
      <c r="E57" s="41">
        <f>E56-E55</f>
        <v>78.301656391680126</v>
      </c>
    </row>
    <row r="58" spans="2:5" ht="15.75" customHeight="1" x14ac:dyDescent="0.2">
      <c r="B58" s="25" t="s">
        <v>152</v>
      </c>
      <c r="C58" s="55">
        <f>IFERROR((C56-C55)/ABS(C55),0)</f>
        <v>-0.11339385815365294</v>
      </c>
      <c r="D58" s="55">
        <f>IFERROR((D56-D55)/ABS(D55),0)</f>
        <v>0.24909980454489733</v>
      </c>
      <c r="E58" s="55">
        <f>IFERROR((E56-E55)/ABS(E55),0)</f>
        <v>0.28709105094795506</v>
      </c>
    </row>
    <row r="59" spans="2:5" ht="15.75" customHeight="1" x14ac:dyDescent="0.15"/>
    <row r="60" spans="2:5" ht="15.75" customHeight="1" x14ac:dyDescent="0.15"/>
    <row r="61" spans="2:5" ht="15.75" customHeight="1" x14ac:dyDescent="0.15"/>
    <row r="62" spans="2:5" ht="15.75" customHeight="1" x14ac:dyDescent="0.15"/>
    <row r="63" spans="2:5" ht="15.75" customHeight="1" x14ac:dyDescent="0.15"/>
    <row r="64" spans="2:5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</sheetData>
  <mergeCells count="1">
    <mergeCell ref="B2:E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N100"/>
  <sheetViews>
    <sheetView showGridLines="0" zoomScaleNormal="100" workbookViewId="0"/>
  </sheetViews>
  <sheetFormatPr defaultColWidth="14.46484375" defaultRowHeight="13.5" x14ac:dyDescent="0.15"/>
  <cols>
    <col min="1" max="1" width="1.9609375" style="15" customWidth="1"/>
    <col min="2" max="2" width="24.515625" style="15" customWidth="1"/>
    <col min="3" max="14" width="13.1171875" style="15" customWidth="1"/>
  </cols>
  <sheetData>
    <row r="2" spans="2:14" ht="15" customHeight="1" x14ac:dyDescent="0.2">
      <c r="B2" s="120" t="str">
        <f>"Budget vs Forecast (Jul-26 to Jun-27) -"&amp;'Data Sheet'!B1</f>
        <v>Budget vs Forecast (Jul-26 to Jun-27) -NESTLE INDIA LTD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</row>
    <row r="4" spans="2:14" ht="15" customHeight="1" x14ac:dyDescent="0.2">
      <c r="B4" s="38" t="s">
        <v>53</v>
      </c>
      <c r="C4" s="39">
        <v>46204</v>
      </c>
      <c r="D4" s="39">
        <v>46235</v>
      </c>
      <c r="E4" s="39">
        <v>46266</v>
      </c>
      <c r="F4" s="39">
        <v>46296</v>
      </c>
      <c r="G4" s="39">
        <v>46327</v>
      </c>
      <c r="H4" s="39">
        <v>46357</v>
      </c>
      <c r="I4" s="39">
        <v>46388</v>
      </c>
      <c r="J4" s="39">
        <v>46419</v>
      </c>
      <c r="K4" s="39">
        <v>46447</v>
      </c>
      <c r="L4" s="39">
        <v>46478</v>
      </c>
      <c r="M4" s="39">
        <v>46508</v>
      </c>
      <c r="N4" s="39">
        <v>46539</v>
      </c>
    </row>
    <row r="6" spans="2:14" ht="15" customHeight="1" x14ac:dyDescent="0.2">
      <c r="B6" s="40" t="s">
        <v>36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</row>
    <row r="7" spans="2:14" ht="15" customHeight="1" x14ac:dyDescent="0.2">
      <c r="B7" s="25" t="s">
        <v>149</v>
      </c>
      <c r="C7" s="41">
        <f>'Monthly Budget'!F7</f>
        <v>2018.07936</v>
      </c>
      <c r="D7" s="41">
        <f>'Monthly Budget'!G7</f>
        <v>1924.4710100000002</v>
      </c>
      <c r="E7" s="41">
        <f>'Monthly Budget'!H7</f>
        <v>2048.6304300000002</v>
      </c>
      <c r="F7" s="41">
        <f>'Monthly Budget'!I7</f>
        <v>2234.8695600000001</v>
      </c>
      <c r="G7" s="41">
        <f>'Monthly Budget'!J7</f>
        <v>1932.4606400000002</v>
      </c>
      <c r="H7" s="41">
        <f>'Monthly Budget'!K7</f>
        <v>2057.1355200000003</v>
      </c>
      <c r="I7" s="41">
        <f>'Monthly Budget'!L7</f>
        <v>2244.1478400000001</v>
      </c>
      <c r="J7" s="41">
        <f>'Monthly Budget'!M7</f>
        <v>2300.9963900000002</v>
      </c>
      <c r="K7" s="41">
        <f>'Monthly Budget'!N7</f>
        <v>2449.4477700000002</v>
      </c>
      <c r="L7" s="41">
        <f>'Monthly Budget'!O7</f>
        <v>2672.1248400000004</v>
      </c>
      <c r="M7" s="41">
        <f>'Monthly Budget'!P7</f>
        <v>2174.9593800000002</v>
      </c>
      <c r="N7" s="41">
        <f>'Monthly Budget'!Q7</f>
        <v>2315.2793400000005</v>
      </c>
    </row>
    <row r="8" spans="2:14" ht="15" customHeight="1" x14ac:dyDescent="0.2">
      <c r="B8" s="25" t="s">
        <v>153</v>
      </c>
      <c r="C8" s="41">
        <f>'Rolling Forecast'!D8</f>
        <v>2054.7717120000002</v>
      </c>
      <c r="D8" s="41">
        <f>'Rolling Forecast'!E8</f>
        <v>1959.4613920000002</v>
      </c>
      <c r="E8" s="41">
        <f>'Rolling Forecast'!F8</f>
        <v>2085.8782560000004</v>
      </c>
      <c r="F8" s="41">
        <f>'Rolling Forecast'!G8</f>
        <v>2275.5035520000001</v>
      </c>
      <c r="G8" s="41">
        <f>'Rolling Forecast'!H8</f>
        <v>1967.5962880000002</v>
      </c>
      <c r="H8" s="41">
        <f>'Rolling Forecast'!I8</f>
        <v>2094.5379840000001</v>
      </c>
      <c r="I8" s="41">
        <f>'Rolling Forecast'!J8</f>
        <v>2284.9505280000003</v>
      </c>
      <c r="J8" s="41">
        <f>'Rolling Forecast'!K8</f>
        <v>2342.832688</v>
      </c>
      <c r="K8" s="41">
        <f>'Rolling Forecast'!L8</f>
        <v>2493.9831840000002</v>
      </c>
      <c r="L8" s="41">
        <f>'Rolling Forecast'!M8</f>
        <v>2720.7089280000005</v>
      </c>
      <c r="M8" s="41">
        <f>'Rolling Forecast'!N8</f>
        <v>2214.5040960000006</v>
      </c>
      <c r="N8" s="41">
        <f>'Rolling Forecast'!O8</f>
        <v>2357.3753280000005</v>
      </c>
    </row>
    <row r="9" spans="2:14" ht="15" customHeight="1" x14ac:dyDescent="0.2">
      <c r="B9" s="25" t="s">
        <v>151</v>
      </c>
      <c r="C9" s="41">
        <f>C8-C7</f>
        <v>36.692352000000255</v>
      </c>
      <c r="D9" s="41">
        <f>D8-D7</f>
        <v>34.990381999999954</v>
      </c>
      <c r="E9" s="41">
        <f>E8-E7</f>
        <v>37.247826000000259</v>
      </c>
      <c r="F9" s="41">
        <f>F8-F7</f>
        <v>40.633992000000035</v>
      </c>
      <c r="G9" s="41">
        <f>G8-G7</f>
        <v>35.135647999999946</v>
      </c>
      <c r="H9" s="41">
        <f>H8-H7</f>
        <v>37.402463999999782</v>
      </c>
      <c r="I9" s="41">
        <f>I8-I7</f>
        <v>40.802688000000217</v>
      </c>
      <c r="J9" s="41">
        <f>J8-J7</f>
        <v>41.836297999999715</v>
      </c>
      <c r="K9" s="41">
        <f>K8-K7</f>
        <v>44.535413999999946</v>
      </c>
      <c r="L9" s="41">
        <f>L8-L7</f>
        <v>48.584088000000065</v>
      </c>
      <c r="M9" s="41">
        <f>M8-M7</f>
        <v>39.544716000000335</v>
      </c>
      <c r="N9" s="41">
        <f>N8-N7</f>
        <v>42.095988000000034</v>
      </c>
    </row>
    <row r="10" spans="2:14" ht="15" customHeight="1" x14ac:dyDescent="0.2">
      <c r="B10" s="25" t="s">
        <v>152</v>
      </c>
      <c r="C10" s="55">
        <f>IFERROR((C8-C7)/ABS(C7),0)</f>
        <v>1.8181818181818309E-2</v>
      </c>
      <c r="D10" s="55">
        <f>IFERROR((D8-D7)/ABS(D7),0)</f>
        <v>1.8181818181818157E-2</v>
      </c>
      <c r="E10" s="55">
        <f>IFERROR((E8-E7)/ABS(E7),0)</f>
        <v>1.8181818181818306E-2</v>
      </c>
      <c r="F10" s="55">
        <f>IFERROR((F8-F7)/ABS(F7),0)</f>
        <v>1.8181818181818198E-2</v>
      </c>
      <c r="G10" s="55">
        <f>IFERROR((G8-G7)/ABS(G7),0)</f>
        <v>1.8181818181818153E-2</v>
      </c>
      <c r="H10" s="55">
        <f>IFERROR((H8-H7)/ABS(H7),0)</f>
        <v>1.8181818181818073E-2</v>
      </c>
      <c r="I10" s="55">
        <f>IFERROR((I8-I7)/ABS(I7),0)</f>
        <v>1.8181818181818278E-2</v>
      </c>
      <c r="J10" s="55">
        <f>IFERROR((J8-J7)/ABS(J7),0)</f>
        <v>1.8181818181818056E-2</v>
      </c>
      <c r="K10" s="55">
        <f>IFERROR((K8-K7)/ABS(K7),0)</f>
        <v>1.8181818181818157E-2</v>
      </c>
      <c r="L10" s="55">
        <f>IFERROR((L8-L7)/ABS(L7),0)</f>
        <v>1.8181818181818202E-2</v>
      </c>
      <c r="M10" s="55">
        <f>IFERROR((M8-M7)/ABS(M7),0)</f>
        <v>1.8181818181818334E-2</v>
      </c>
      <c r="N10" s="55">
        <f>IFERROR((N8-N7)/ABS(N7),0)</f>
        <v>1.8181818181818191E-2</v>
      </c>
    </row>
    <row r="12" spans="2:14" ht="15" customHeight="1" x14ac:dyDescent="0.2">
      <c r="B12" s="40" t="s">
        <v>58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</row>
    <row r="13" spans="2:14" ht="15" customHeight="1" x14ac:dyDescent="0.2">
      <c r="B13" s="25" t="s">
        <v>149</v>
      </c>
      <c r="C13" s="41">
        <f>'Monthly Budget'!F9</f>
        <v>783.01479168000003</v>
      </c>
      <c r="D13" s="41">
        <f>'Monthly Budget'!G9</f>
        <v>746.69475188000013</v>
      </c>
      <c r="E13" s="41">
        <f>'Monthly Budget'!H9</f>
        <v>794.8686068400001</v>
      </c>
      <c r="F13" s="41">
        <f>'Monthly Budget'!I9</f>
        <v>867.12938928000005</v>
      </c>
      <c r="G13" s="41">
        <f>'Monthly Budget'!J9</f>
        <v>749.7947283200001</v>
      </c>
      <c r="H13" s="41">
        <f>'Monthly Budget'!K9</f>
        <v>798.16858176000017</v>
      </c>
      <c r="I13" s="41">
        <f>'Monthly Budget'!L9</f>
        <v>870.72936192000009</v>
      </c>
      <c r="J13" s="41">
        <f>'Monthly Budget'!M9</f>
        <v>892.78659932000016</v>
      </c>
      <c r="K13" s="41">
        <f>'Monthly Budget'!N9</f>
        <v>950.3857347600001</v>
      </c>
      <c r="L13" s="41">
        <f>'Monthly Budget'!O9</f>
        <v>1036.7844379200003</v>
      </c>
      <c r="M13" s="41">
        <f>'Monthly Budget'!P9</f>
        <v>843.8842394400001</v>
      </c>
      <c r="N13" s="41">
        <f>'Monthly Budget'!Q9</f>
        <v>898.32838392000019</v>
      </c>
    </row>
    <row r="14" spans="2:14" ht="15" customHeight="1" x14ac:dyDescent="0.2">
      <c r="B14" s="25" t="s">
        <v>153</v>
      </c>
      <c r="C14" s="41">
        <f>'Rolling Forecast'!D10</f>
        <v>811.63482624000017</v>
      </c>
      <c r="D14" s="41">
        <f>'Rolling Forecast'!E10</f>
        <v>773.98724984000012</v>
      </c>
      <c r="E14" s="41">
        <f>'Rolling Forecast'!F10</f>
        <v>823.92191112000023</v>
      </c>
      <c r="F14" s="41">
        <f>'Rolling Forecast'!G10</f>
        <v>898.82390304000012</v>
      </c>
      <c r="G14" s="41">
        <f>'Rolling Forecast'!H10</f>
        <v>777.2005337600001</v>
      </c>
      <c r="H14" s="41">
        <f>'Rolling Forecast'!I10</f>
        <v>827.34250368000005</v>
      </c>
      <c r="I14" s="41">
        <f>'Rolling Forecast'!J10</f>
        <v>902.55545856000015</v>
      </c>
      <c r="J14" s="41">
        <f>'Rolling Forecast'!K10</f>
        <v>925.41891176000001</v>
      </c>
      <c r="K14" s="41">
        <f>'Rolling Forecast'!L10</f>
        <v>985.12335768000014</v>
      </c>
      <c r="L14" s="41">
        <f>'Rolling Forecast'!M10</f>
        <v>1074.6800265600002</v>
      </c>
      <c r="M14" s="41">
        <f>'Rolling Forecast'!N10</f>
        <v>874.72911792000025</v>
      </c>
      <c r="N14" s="41">
        <f>'Rolling Forecast'!O10</f>
        <v>931.16325456000027</v>
      </c>
    </row>
    <row r="15" spans="2:14" ht="15" customHeight="1" x14ac:dyDescent="0.2">
      <c r="B15" s="25" t="s">
        <v>151</v>
      </c>
      <c r="C15" s="41">
        <f>C14-C13</f>
        <v>28.620034560000136</v>
      </c>
      <c r="D15" s="41">
        <f>D14-D13</f>
        <v>27.292497959999992</v>
      </c>
      <c r="E15" s="41">
        <f>E14-E13</f>
        <v>29.053304280000134</v>
      </c>
      <c r="F15" s="41">
        <f>F14-F13</f>
        <v>31.694513760000063</v>
      </c>
      <c r="G15" s="41">
        <f>G14-G13</f>
        <v>27.405805439999995</v>
      </c>
      <c r="H15" s="41">
        <f>H14-H13</f>
        <v>29.173921919999884</v>
      </c>
      <c r="I15" s="41">
        <f>I14-I13</f>
        <v>31.82609664000006</v>
      </c>
      <c r="J15" s="41">
        <f>J14-J13</f>
        <v>32.632312439999851</v>
      </c>
      <c r="K15" s="41">
        <f>K14-K13</f>
        <v>34.737622920000035</v>
      </c>
      <c r="L15" s="41">
        <f>L14-L13</f>
        <v>37.895588639999914</v>
      </c>
      <c r="M15" s="41">
        <f>M14-M13</f>
        <v>30.844878480000148</v>
      </c>
      <c r="N15" s="41">
        <f>N14-N13</f>
        <v>32.834870640000076</v>
      </c>
    </row>
    <row r="16" spans="2:14" ht="15" customHeight="1" x14ac:dyDescent="0.2">
      <c r="B16" s="25" t="s">
        <v>152</v>
      </c>
      <c r="C16" s="55">
        <f>IFERROR((C14-C13)/ABS(C13),0)</f>
        <v>3.6551077788191361E-2</v>
      </c>
      <c r="D16" s="55">
        <f>IFERROR((D14-D13)/ABS(D13),0)</f>
        <v>3.6551077788191173E-2</v>
      </c>
      <c r="E16" s="55">
        <f>IFERROR((E14-E13)/ABS(E13),0)</f>
        <v>3.6551077788191354E-2</v>
      </c>
      <c r="F16" s="55">
        <f>IFERROR((F14-F13)/ABS(F13),0)</f>
        <v>3.6551077788191264E-2</v>
      </c>
      <c r="G16" s="55">
        <f>IFERROR((G14-G13)/ABS(G13),0)</f>
        <v>3.655107778819118E-2</v>
      </c>
      <c r="H16" s="55">
        <f>IFERROR((H14-H13)/ABS(H13),0)</f>
        <v>3.6551077788191035E-2</v>
      </c>
      <c r="I16" s="55">
        <f>IFERROR((I14-I13)/ABS(I13),0)</f>
        <v>3.6551077788191257E-2</v>
      </c>
      <c r="J16" s="55">
        <f>IFERROR((J14-J13)/ABS(J13),0)</f>
        <v>3.6551077788191014E-2</v>
      </c>
      <c r="K16" s="55">
        <f>IFERROR((K14-K13)/ABS(K13),0)</f>
        <v>3.6551077788191222E-2</v>
      </c>
      <c r="L16" s="55">
        <f>IFERROR((L14-L13)/ABS(L13),0)</f>
        <v>3.6551077788191097E-2</v>
      </c>
      <c r="M16" s="55">
        <f>IFERROR((M14-M13)/ABS(M13),0)</f>
        <v>3.6551077788191361E-2</v>
      </c>
      <c r="N16" s="55">
        <f>IFERROR((N14-N13)/ABS(N13),0)</f>
        <v>3.655107778819127E-2</v>
      </c>
    </row>
    <row r="18" spans="2:14" ht="15" customHeight="1" x14ac:dyDescent="0.2">
      <c r="B18" s="40" t="s">
        <v>59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</row>
    <row r="19" spans="2:14" ht="15" customHeight="1" x14ac:dyDescent="0.2">
      <c r="B19" s="25" t="s">
        <v>149</v>
      </c>
      <c r="C19" s="41">
        <f>'Monthly Budget'!F10</f>
        <v>205.84409471999999</v>
      </c>
      <c r="D19" s="41">
        <f>'Monthly Budget'!G10</f>
        <v>196.29604302000001</v>
      </c>
      <c r="E19" s="41">
        <f>'Monthly Budget'!H10</f>
        <v>208.96030386000001</v>
      </c>
      <c r="F19" s="41">
        <f>'Monthly Budget'!I10</f>
        <v>227.95669512000001</v>
      </c>
      <c r="G19" s="41">
        <f>'Monthly Budget'!J10</f>
        <v>197.11098528000002</v>
      </c>
      <c r="H19" s="41">
        <f>'Monthly Budget'!K10</f>
        <v>209.82782304000003</v>
      </c>
      <c r="I19" s="41">
        <f>'Monthly Budget'!L10</f>
        <v>228.90307967999999</v>
      </c>
      <c r="J19" s="41">
        <f>'Monthly Budget'!M10</f>
        <v>234.70163178000001</v>
      </c>
      <c r="K19" s="41">
        <f>'Monthly Budget'!N10</f>
        <v>249.84367254</v>
      </c>
      <c r="L19" s="41">
        <f>'Monthly Budget'!O10</f>
        <v>272.55673368000004</v>
      </c>
      <c r="M19" s="41">
        <f>'Monthly Budget'!P10</f>
        <v>221.84585676</v>
      </c>
      <c r="N19" s="41">
        <f>'Monthly Budget'!Q10</f>
        <v>236.15849268000002</v>
      </c>
    </row>
    <row r="20" spans="2:14" ht="15" customHeight="1" x14ac:dyDescent="0.2">
      <c r="B20" s="25" t="s">
        <v>153</v>
      </c>
      <c r="C20" s="41">
        <f>'Rolling Forecast'!D11</f>
        <v>205.47717120000004</v>
      </c>
      <c r="D20" s="41">
        <f>'Rolling Forecast'!E11</f>
        <v>195.94613920000003</v>
      </c>
      <c r="E20" s="41">
        <f>'Rolling Forecast'!F11</f>
        <v>208.58782560000006</v>
      </c>
      <c r="F20" s="41">
        <f>'Rolling Forecast'!G11</f>
        <v>227.55035520000001</v>
      </c>
      <c r="G20" s="41">
        <f>'Rolling Forecast'!H11</f>
        <v>196.75962880000003</v>
      </c>
      <c r="H20" s="41">
        <f>'Rolling Forecast'!I11</f>
        <v>209.45379840000001</v>
      </c>
      <c r="I20" s="41">
        <f>'Rolling Forecast'!J11</f>
        <v>228.49505280000005</v>
      </c>
      <c r="J20" s="41">
        <f>'Rolling Forecast'!K11</f>
        <v>234.2832688</v>
      </c>
      <c r="K20" s="41">
        <f>'Rolling Forecast'!L11</f>
        <v>249.39831840000002</v>
      </c>
      <c r="L20" s="41">
        <f>'Rolling Forecast'!M11</f>
        <v>272.07089280000008</v>
      </c>
      <c r="M20" s="41">
        <f>'Rolling Forecast'!N11</f>
        <v>221.45040960000006</v>
      </c>
      <c r="N20" s="41">
        <f>'Rolling Forecast'!O11</f>
        <v>235.73753280000005</v>
      </c>
    </row>
    <row r="21" spans="2:14" ht="15.75" customHeight="1" x14ac:dyDescent="0.2">
      <c r="B21" s="25" t="s">
        <v>151</v>
      </c>
      <c r="C21" s="41">
        <f>C20-C19</f>
        <v>-0.36692351999994344</v>
      </c>
      <c r="D21" s="41">
        <f>D20-D19</f>
        <v>-0.34990381999998021</v>
      </c>
      <c r="E21" s="41">
        <f>E20-E19</f>
        <v>-0.37247825999995143</v>
      </c>
      <c r="F21" s="41">
        <f>F20-F19</f>
        <v>-0.40633991999999353</v>
      </c>
      <c r="G21" s="41">
        <f>G20-G19</f>
        <v>-0.35135647999999264</v>
      </c>
      <c r="H21" s="41">
        <f>H20-H19</f>
        <v>-0.37402464000001601</v>
      </c>
      <c r="I21" s="41">
        <f>I20-I19</f>
        <v>-0.40802687999993736</v>
      </c>
      <c r="J21" s="41">
        <f>J20-J19</f>
        <v>-0.41836298000001193</v>
      </c>
      <c r="K21" s="41">
        <f>K20-K19</f>
        <v>-0.44535413999997786</v>
      </c>
      <c r="L21" s="41">
        <f>L20-L19</f>
        <v>-0.48584087999995518</v>
      </c>
      <c r="M21" s="41">
        <f>M20-M19</f>
        <v>-0.39544715999994651</v>
      </c>
      <c r="N21" s="41">
        <f>N20-N19</f>
        <v>-0.42095987999996964</v>
      </c>
    </row>
    <row r="22" spans="2:14" ht="15.75" customHeight="1" x14ac:dyDescent="0.2">
      <c r="B22" s="25" t="s">
        <v>152</v>
      </c>
      <c r="C22" s="55">
        <f>IFERROR((C20-C19)/ABS(C19),0)</f>
        <v>-1.7825311942956256E-3</v>
      </c>
      <c r="D22" s="55">
        <f>IFERROR((D20-D19)/ABS(D19),0)</f>
        <v>-1.7825311942957992E-3</v>
      </c>
      <c r="E22" s="55">
        <f>IFERROR((E20-E19)/ABS(E19),0)</f>
        <v>-1.7825311942956676E-3</v>
      </c>
      <c r="F22" s="55">
        <f>IFERROR((F20-F19)/ABS(F19),0)</f>
        <v>-1.7825311942958717E-3</v>
      </c>
      <c r="G22" s="55">
        <f>IFERROR((G20-G19)/ABS(G19),0)</f>
        <v>-1.7825311942958626E-3</v>
      </c>
      <c r="H22" s="55">
        <f>IFERROR((H20-H19)/ABS(H19),0)</f>
        <v>-1.7825311942959762E-3</v>
      </c>
      <c r="I22" s="55">
        <f>IFERROR((I20-I19)/ABS(I19),0)</f>
        <v>-1.7825311942956266E-3</v>
      </c>
      <c r="J22" s="55">
        <f>IFERROR((J20-J19)/ABS(J19),0)</f>
        <v>-1.7825311942959508E-3</v>
      </c>
      <c r="K22" s="55">
        <f>IFERROR((K20-K19)/ABS(K19),0)</f>
        <v>-1.7825311942958116E-3</v>
      </c>
      <c r="L22" s="55">
        <f>IFERROR((L20-L19)/ABS(L19),0)</f>
        <v>-1.7825311942957355E-3</v>
      </c>
      <c r="M22" s="55">
        <f>IFERROR((M20-M19)/ABS(M19),0)</f>
        <v>-1.7825311942956589E-3</v>
      </c>
      <c r="N22" s="55">
        <f>IFERROR((N20-N19)/ABS(N19),0)</f>
        <v>-1.7825311942957715E-3</v>
      </c>
    </row>
    <row r="23" spans="2:14" ht="15.75" customHeight="1" x14ac:dyDescent="0.15"/>
    <row r="24" spans="2:14" ht="15.75" customHeight="1" x14ac:dyDescent="0.2">
      <c r="B24" s="40" t="s">
        <v>60</v>
      </c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</row>
    <row r="25" spans="2:14" ht="15.75" customHeight="1" x14ac:dyDescent="0.2">
      <c r="B25" s="25" t="s">
        <v>149</v>
      </c>
      <c r="C25" s="41">
        <f>'Monthly Budget'!F11</f>
        <v>567.08030016000009</v>
      </c>
      <c r="D25" s="41">
        <f>'Monthly Budget'!G11</f>
        <v>540.77635381000016</v>
      </c>
      <c r="E25" s="41">
        <f>'Monthly Budget'!H11</f>
        <v>575.66515083000013</v>
      </c>
      <c r="F25" s="41">
        <f>'Monthly Budget'!I11</f>
        <v>627.99834636000014</v>
      </c>
      <c r="G25" s="41">
        <f>'Monthly Budget'!J11</f>
        <v>543.02143984000008</v>
      </c>
      <c r="H25" s="41">
        <f>'Monthly Budget'!K11</f>
        <v>578.05508112000018</v>
      </c>
      <c r="I25" s="41">
        <f>'Monthly Budget'!L11</f>
        <v>630.60554304000004</v>
      </c>
      <c r="J25" s="41">
        <f>'Monthly Budget'!M11</f>
        <v>646.57998559000009</v>
      </c>
      <c r="K25" s="41">
        <f>'Monthly Budget'!N11</f>
        <v>688.29482337000013</v>
      </c>
      <c r="L25" s="41">
        <f>'Monthly Budget'!O11</f>
        <v>750.86708004000013</v>
      </c>
      <c r="M25" s="41">
        <f>'Monthly Budget'!P11</f>
        <v>611.16358578000018</v>
      </c>
      <c r="N25" s="41">
        <f>'Monthly Budget'!Q11</f>
        <v>650.59349454000017</v>
      </c>
    </row>
    <row r="26" spans="2:14" ht="15.75" customHeight="1" x14ac:dyDescent="0.2">
      <c r="B26" s="25" t="s">
        <v>153</v>
      </c>
      <c r="C26" s="41">
        <f>'Rolling Forecast'!D12</f>
        <v>585.60993791999999</v>
      </c>
      <c r="D26" s="41">
        <f>'Rolling Forecast'!E12</f>
        <v>558.44649672000003</v>
      </c>
      <c r="E26" s="41">
        <f>'Rolling Forecast'!F12</f>
        <v>594.47530296000002</v>
      </c>
      <c r="F26" s="41">
        <f>'Rolling Forecast'!G12</f>
        <v>648.51851232000001</v>
      </c>
      <c r="G26" s="41">
        <f>'Rolling Forecast'!H12</f>
        <v>560.76494207999997</v>
      </c>
      <c r="H26" s="41">
        <f>'Rolling Forecast'!I12</f>
        <v>596.94332543999997</v>
      </c>
      <c r="I26" s="41">
        <f>'Rolling Forecast'!J12</f>
        <v>651.21090048000008</v>
      </c>
      <c r="J26" s="41">
        <f>'Rolling Forecast'!K12</f>
        <v>667.70731607999994</v>
      </c>
      <c r="K26" s="41">
        <f>'Rolling Forecast'!L12</f>
        <v>710.78520744000002</v>
      </c>
      <c r="L26" s="41">
        <f>'Rolling Forecast'!M12</f>
        <v>775.40204448000009</v>
      </c>
      <c r="M26" s="41">
        <f>'Rolling Forecast'!N12</f>
        <v>631.13366736000012</v>
      </c>
      <c r="N26" s="41">
        <f>'Rolling Forecast'!O12</f>
        <v>671.8519684800001</v>
      </c>
    </row>
    <row r="27" spans="2:14" ht="15.75" customHeight="1" x14ac:dyDescent="0.2">
      <c r="B27" s="25" t="s">
        <v>151</v>
      </c>
      <c r="C27" s="41">
        <f>C26-C25</f>
        <v>18.5296377599999</v>
      </c>
      <c r="D27" s="41">
        <f>D26-D25</f>
        <v>17.670142909999868</v>
      </c>
      <c r="E27" s="41">
        <f>E26-E25</f>
        <v>18.810152129999892</v>
      </c>
      <c r="F27" s="41">
        <f>F26-F25</f>
        <v>20.520165959999872</v>
      </c>
      <c r="G27" s="41">
        <f>G26-G25</f>
        <v>17.743502239999884</v>
      </c>
      <c r="H27" s="41">
        <f>H26-H25</f>
        <v>18.888244319999785</v>
      </c>
      <c r="I27" s="41">
        <f>I26-I25</f>
        <v>20.605357440000034</v>
      </c>
      <c r="J27" s="41">
        <f>J26-J25</f>
        <v>21.127330489999849</v>
      </c>
      <c r="K27" s="41">
        <f>K26-K25</f>
        <v>22.490384069999891</v>
      </c>
      <c r="L27" s="41">
        <f>L26-L25</f>
        <v>24.534964439999953</v>
      </c>
      <c r="M27" s="41">
        <f>M26-M25</f>
        <v>19.970081579999942</v>
      </c>
      <c r="N27" s="41">
        <f>N26-N25</f>
        <v>21.258473939999931</v>
      </c>
    </row>
    <row r="28" spans="2:14" ht="15.75" customHeight="1" x14ac:dyDescent="0.2">
      <c r="B28" s="25" t="s">
        <v>152</v>
      </c>
      <c r="C28" s="55">
        <f>IFERROR((C26-C25)/ABS(C25),0)</f>
        <v>3.2675509543836766E-2</v>
      </c>
      <c r="D28" s="55">
        <f>IFERROR((D26-D25)/ABS(D25),0)</f>
        <v>3.2675509543836689E-2</v>
      </c>
      <c r="E28" s="55">
        <f>IFERROR((E26-E25)/ABS(E25),0)</f>
        <v>3.2675509543836752E-2</v>
      </c>
      <c r="F28" s="55">
        <f>IFERROR((F26-F25)/ABS(F25),0)</f>
        <v>3.2675509543836738E-2</v>
      </c>
      <c r="G28" s="55">
        <f>IFERROR((G26-G25)/ABS(G25),0)</f>
        <v>3.2675509543836731E-2</v>
      </c>
      <c r="H28" s="55">
        <f>IFERROR((H26-H25)/ABS(H25),0)</f>
        <v>3.2675509543836564E-2</v>
      </c>
      <c r="I28" s="55">
        <f>IFERROR((I26-I25)/ABS(I25),0)</f>
        <v>3.2675509543837002E-2</v>
      </c>
      <c r="J28" s="55">
        <f>IFERROR((J26-J25)/ABS(J25),0)</f>
        <v>3.267550954383671E-2</v>
      </c>
      <c r="K28" s="55">
        <f>IFERROR((K26-K25)/ABS(K25),0)</f>
        <v>3.267550954383678E-2</v>
      </c>
      <c r="L28" s="55">
        <f>IFERROR((L26-L25)/ABS(L25),0)</f>
        <v>3.2675509543836877E-2</v>
      </c>
      <c r="M28" s="55">
        <f>IFERROR((M26-M25)/ABS(M25),0)</f>
        <v>3.2675509543836842E-2</v>
      </c>
      <c r="N28" s="55">
        <f>IFERROR((N26-N25)/ABS(N25),0)</f>
        <v>3.2675509543836828E-2</v>
      </c>
    </row>
    <row r="29" spans="2:14" ht="15.75" customHeight="1" x14ac:dyDescent="0.15"/>
    <row r="30" spans="2:14" ht="15.75" customHeight="1" x14ac:dyDescent="0.2">
      <c r="B30" s="40" t="s">
        <v>37</v>
      </c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</row>
    <row r="31" spans="2:14" ht="15.75" customHeight="1" x14ac:dyDescent="0.2">
      <c r="B31" s="25" t="s">
        <v>149</v>
      </c>
      <c r="C31" s="41">
        <f>'Monthly Budget'!F12</f>
        <v>462.1401734399999</v>
      </c>
      <c r="D31" s="41">
        <f>'Monthly Budget'!G12</f>
        <v>440.70386129000008</v>
      </c>
      <c r="E31" s="41">
        <f>'Monthly Budget'!H12</f>
        <v>469.13636846999998</v>
      </c>
      <c r="F31" s="41">
        <f>'Monthly Budget'!I12</f>
        <v>511.78512923999983</v>
      </c>
      <c r="G31" s="41">
        <f>'Monthly Budget'!J12</f>
        <v>442.53348656000003</v>
      </c>
      <c r="H31" s="41">
        <f>'Monthly Budget'!K12</f>
        <v>471.08403408000004</v>
      </c>
      <c r="I31" s="41">
        <f>'Monthly Budget'!L12</f>
        <v>513.90985536000017</v>
      </c>
      <c r="J31" s="41">
        <f>'Monthly Budget'!M12</f>
        <v>526.92817331000015</v>
      </c>
      <c r="K31" s="41">
        <f>'Monthly Budget'!N12</f>
        <v>560.92353933000004</v>
      </c>
      <c r="L31" s="41">
        <f>'Monthly Budget'!O12</f>
        <v>611.91658835999988</v>
      </c>
      <c r="M31" s="41">
        <f>'Monthly Budget'!P12</f>
        <v>498.0656980199999</v>
      </c>
      <c r="N31" s="41">
        <f>'Monthly Budget'!Q12</f>
        <v>530.19896886000015</v>
      </c>
    </row>
    <row r="32" spans="2:14" ht="15.75" customHeight="1" x14ac:dyDescent="0.2">
      <c r="B32" s="25" t="s">
        <v>153</v>
      </c>
      <c r="C32" s="41">
        <f>'Rolling Forecast'!D13</f>
        <v>452.04977663999989</v>
      </c>
      <c r="D32" s="41">
        <f>'Rolling Forecast'!E13</f>
        <v>431.08150623999995</v>
      </c>
      <c r="E32" s="41">
        <f>'Rolling Forecast'!F13</f>
        <v>458.89321632000019</v>
      </c>
      <c r="F32" s="41">
        <f>'Rolling Forecast'!G13</f>
        <v>500.61078144000021</v>
      </c>
      <c r="G32" s="41">
        <f>'Rolling Forecast'!H13</f>
        <v>432.87118336000003</v>
      </c>
      <c r="H32" s="41">
        <f>'Rolling Forecast'!I13</f>
        <v>460.79835648000017</v>
      </c>
      <c r="I32" s="41">
        <f>'Rolling Forecast'!J13</f>
        <v>502.68911616000014</v>
      </c>
      <c r="J32" s="41">
        <f>'Rolling Forecast'!K13</f>
        <v>515.42319136000015</v>
      </c>
      <c r="K32" s="41">
        <f>'Rolling Forecast'!L13</f>
        <v>548.67630048000001</v>
      </c>
      <c r="L32" s="41">
        <f>'Rolling Forecast'!M13</f>
        <v>598.5559641599998</v>
      </c>
      <c r="M32" s="41">
        <f>'Rolling Forecast'!N13</f>
        <v>487.19090112000026</v>
      </c>
      <c r="N32" s="41">
        <f>'Rolling Forecast'!O13</f>
        <v>518.62257216000012</v>
      </c>
    </row>
    <row r="33" spans="2:14" ht="15.75" customHeight="1" x14ac:dyDescent="0.2">
      <c r="B33" s="25" t="s">
        <v>151</v>
      </c>
      <c r="C33" s="41">
        <f>C32-C31</f>
        <v>-10.090396800000008</v>
      </c>
      <c r="D33" s="41">
        <f>D32-D31</f>
        <v>-9.6223550500001238</v>
      </c>
      <c r="E33" s="41">
        <f>E32-E31</f>
        <v>-10.243152149999787</v>
      </c>
      <c r="F33" s="41">
        <f>F32-F31</f>
        <v>-11.174347799999623</v>
      </c>
      <c r="G33" s="41">
        <f>G32-G31</f>
        <v>-9.6623031999999967</v>
      </c>
      <c r="H33" s="41">
        <f>H32-H31</f>
        <v>-10.285677599999872</v>
      </c>
      <c r="I33" s="41">
        <f>I32-I31</f>
        <v>-11.220739200000025</v>
      </c>
      <c r="J33" s="41">
        <f>J32-J31</f>
        <v>-11.504981950000001</v>
      </c>
      <c r="K33" s="41">
        <f>K32-K31</f>
        <v>-12.247238850000031</v>
      </c>
      <c r="L33" s="41">
        <f>L32-L31</f>
        <v>-13.360624200000075</v>
      </c>
      <c r="M33" s="41">
        <f>M32-M31</f>
        <v>-10.874796899999637</v>
      </c>
      <c r="N33" s="41">
        <f>N32-N31</f>
        <v>-11.576396700000032</v>
      </c>
    </row>
    <row r="34" spans="2:14" ht="15.75" customHeight="1" x14ac:dyDescent="0.2">
      <c r="B34" s="25" t="s">
        <v>152</v>
      </c>
      <c r="C34" s="55">
        <f>IFERROR((C32-C31)/ABS(C31),0)</f>
        <v>-2.1834061135371202E-2</v>
      </c>
      <c r="D34" s="55">
        <f>IFERROR((D32-D31)/ABS(D31),0)</f>
        <v>-2.1834061135371455E-2</v>
      </c>
      <c r="E34" s="55">
        <f>IFERROR((E32-E31)/ABS(E31),0)</f>
        <v>-2.1834061135370727E-2</v>
      </c>
      <c r="F34" s="55">
        <f>IFERROR((F32-F31)/ABS(F31),0)</f>
        <v>-2.1834061135370449E-2</v>
      </c>
      <c r="G34" s="55">
        <f>IFERROR((G32-G31)/ABS(G31),0)</f>
        <v>-2.1834061135371171E-2</v>
      </c>
      <c r="H34" s="55">
        <f>IFERROR((H32-H31)/ABS(H31),0)</f>
        <v>-2.1834061135370904E-2</v>
      </c>
      <c r="I34" s="55">
        <f>IFERROR((I32-I31)/ABS(I31),0)</f>
        <v>-2.1834061135371223E-2</v>
      </c>
      <c r="J34" s="55">
        <f>IFERROR((J32-J31)/ABS(J31),0)</f>
        <v>-2.1834061135371174E-2</v>
      </c>
      <c r="K34" s="55">
        <f>IFERROR((K32-K31)/ABS(K31),0)</f>
        <v>-2.1834061135371233E-2</v>
      </c>
      <c r="L34" s="55">
        <f>IFERROR((L32-L31)/ABS(L31),0)</f>
        <v>-2.1834061135371306E-2</v>
      </c>
      <c r="M34" s="55">
        <f>IFERROR((M32-M31)/ABS(M31),0)</f>
        <v>-2.1834061135370456E-2</v>
      </c>
      <c r="N34" s="55">
        <f>IFERROR((N32-N31)/ABS(N31),0)</f>
        <v>-2.1834061135371233E-2</v>
      </c>
    </row>
    <row r="35" spans="2:14" ht="15.75" customHeight="1" x14ac:dyDescent="0.15"/>
    <row r="36" spans="2:14" ht="15.75" customHeight="1" x14ac:dyDescent="0.2">
      <c r="B36" s="40" t="s">
        <v>108</v>
      </c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</row>
    <row r="37" spans="2:14" ht="15.75" customHeight="1" x14ac:dyDescent="0.2">
      <c r="B37" s="25" t="s">
        <v>149</v>
      </c>
      <c r="C37" s="41">
        <f>'Monthly Budget'!F15</f>
        <v>55.904904000000002</v>
      </c>
      <c r="D37" s="41">
        <f>'Monthly Budget'!G15</f>
        <v>59.511672000000011</v>
      </c>
      <c r="E37" s="41">
        <f>'Monthly Budget'!H15</f>
        <v>64.921824000000001</v>
      </c>
      <c r="F37" s="41">
        <f>'Monthly Budget'!I15</f>
        <v>59.690078400000004</v>
      </c>
      <c r="G37" s="41">
        <f>'Monthly Budget'!J15</f>
        <v>63.541051200000005</v>
      </c>
      <c r="H37" s="41">
        <f>'Monthly Budget'!K15</f>
        <v>69.317510400000003</v>
      </c>
      <c r="I37" s="41">
        <f>'Monthly Budget'!L15</f>
        <v>69.998347200000012</v>
      </c>
      <c r="J37" s="41">
        <f>'Monthly Budget'!M15</f>
        <v>74.514369600000009</v>
      </c>
      <c r="K37" s="41">
        <f>'Monthly Budget'!N15</f>
        <v>81.288403200000005</v>
      </c>
      <c r="L37" s="41">
        <f>'Monthly Budget'!O15</f>
        <v>64.272672000000014</v>
      </c>
      <c r="M37" s="41">
        <f>'Monthly Budget'!P15</f>
        <v>68.419296000000003</v>
      </c>
      <c r="N37" s="41">
        <f>'Monthly Budget'!Q15</f>
        <v>74.639232000000007</v>
      </c>
    </row>
    <row r="38" spans="2:14" ht="15.75" customHeight="1" x14ac:dyDescent="0.2">
      <c r="B38" s="25" t="s">
        <v>153</v>
      </c>
      <c r="C38" s="41">
        <f>'Rolling Forecast'!D16</f>
        <v>62.430731999999992</v>
      </c>
      <c r="D38" s="41">
        <f>'Rolling Forecast'!E16</f>
        <v>55.9555425</v>
      </c>
      <c r="E38" s="41">
        <f>'Rolling Forecast'!F16</f>
        <v>59.565577500000003</v>
      </c>
      <c r="F38" s="41">
        <f>'Rolling Forecast'!G16</f>
        <v>64.980629999999991</v>
      </c>
      <c r="G38" s="41">
        <f>'Rolling Forecast'!H16</f>
        <v>59.744145499999995</v>
      </c>
      <c r="H38" s="41">
        <f>'Rolling Forecast'!I16</f>
        <v>63.598606500000002</v>
      </c>
      <c r="I38" s="41">
        <f>'Rolling Forecast'!J16</f>
        <v>69.380297999999996</v>
      </c>
      <c r="J38" s="41">
        <f>'Rolling Forecast'!K16</f>
        <v>70.0617515</v>
      </c>
      <c r="K38" s="41">
        <f>'Rolling Forecast'!L16</f>
        <v>74.581864499999995</v>
      </c>
      <c r="L38" s="41">
        <f>'Rolling Forecast'!M16</f>
        <v>81.362033999999994</v>
      </c>
      <c r="M38" s="41">
        <f>'Rolling Forecast'!N16</f>
        <v>64.330889999999997</v>
      </c>
      <c r="N38" s="41">
        <f>'Rolling Forecast'!O16</f>
        <v>68.481270000000009</v>
      </c>
    </row>
    <row r="39" spans="2:14" ht="15.75" customHeight="1" x14ac:dyDescent="0.2">
      <c r="B39" s="25" t="s">
        <v>151</v>
      </c>
      <c r="C39" s="41">
        <f>C38-C37</f>
        <v>6.52582799999999</v>
      </c>
      <c r="D39" s="41">
        <f>D38-D37</f>
        <v>-3.5561295000000115</v>
      </c>
      <c r="E39" s="41">
        <f>E38-E37</f>
        <v>-5.3562464999999975</v>
      </c>
      <c r="F39" s="41">
        <f>F38-F37</f>
        <v>5.2905515999999864</v>
      </c>
      <c r="G39" s="41">
        <f>G38-G37</f>
        <v>-3.7969057000000106</v>
      </c>
      <c r="H39" s="41">
        <f>H38-H37</f>
        <v>-5.7189039000000008</v>
      </c>
      <c r="I39" s="41">
        <f>I38-I37</f>
        <v>-0.61804920000001573</v>
      </c>
      <c r="J39" s="41">
        <f>J38-J37</f>
        <v>-4.4526181000000093</v>
      </c>
      <c r="K39" s="41">
        <f>K38-K37</f>
        <v>-6.7065387000000101</v>
      </c>
      <c r="L39" s="41">
        <f>L38-L37</f>
        <v>17.08936199999998</v>
      </c>
      <c r="M39" s="41">
        <f>M38-M37</f>
        <v>-4.0884060000000062</v>
      </c>
      <c r="N39" s="41">
        <f>N38-N37</f>
        <v>-6.1579619999999977</v>
      </c>
    </row>
    <row r="40" spans="2:14" ht="15.75" customHeight="1" x14ac:dyDescent="0.2">
      <c r="B40" s="25" t="s">
        <v>152</v>
      </c>
      <c r="C40" s="55">
        <f>IFERROR((C38-C37)/ABS(C37),0)</f>
        <v>0.11673086854777516</v>
      </c>
      <c r="D40" s="55">
        <f>IFERROR((D38-D37)/ABS(D37),0)</f>
        <v>-5.975516029863874E-2</v>
      </c>
      <c r="E40" s="55">
        <f>IFERROR((E38-E37)/ABS(E37),0)</f>
        <v>-8.2503019323671462E-2</v>
      </c>
      <c r="F40" s="55">
        <f>IFERROR((F38-F37)/ABS(F37),0)</f>
        <v>8.8633684890586206E-2</v>
      </c>
      <c r="G40" s="55">
        <f>IFERROR((G38-G37)/ABS(G37),0)</f>
        <v>-5.975516029863872E-2</v>
      </c>
      <c r="H40" s="55">
        <f>IFERROR((H38-H37)/ABS(H37),0)</f>
        <v>-8.2503019323671503E-2</v>
      </c>
      <c r="I40" s="55">
        <f>IFERROR((I38-I37)/ABS(I37),0)</f>
        <v>-8.8294827624160761E-3</v>
      </c>
      <c r="J40" s="55">
        <f>IFERROR((J38-J37)/ABS(J37),0)</f>
        <v>-5.9755160298638678E-2</v>
      </c>
      <c r="K40" s="55">
        <f>IFERROR((K38-K37)/ABS(K37),0)</f>
        <v>-8.2503019323671614E-2</v>
      </c>
      <c r="L40" s="55">
        <f>IFERROR((L38-L37)/ABS(L37),0)</f>
        <v>0.26588846345146466</v>
      </c>
      <c r="M40" s="55">
        <f>IFERROR((M38-M37)/ABS(M37),0)</f>
        <v>-5.975516029863865E-2</v>
      </c>
      <c r="N40" s="55">
        <f>IFERROR((N38-N37)/ABS(N37),0)</f>
        <v>-8.2503019323671462E-2</v>
      </c>
    </row>
    <row r="41" spans="2:14" ht="15.75" customHeight="1" x14ac:dyDescent="0.2"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</row>
    <row r="42" spans="2:14" ht="15.75" customHeight="1" x14ac:dyDescent="0.2">
      <c r="B42" s="40" t="s">
        <v>110</v>
      </c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</row>
    <row r="43" spans="2:14" ht="15.75" customHeight="1" x14ac:dyDescent="0.2">
      <c r="B43" s="25" t="s">
        <v>149</v>
      </c>
      <c r="C43" s="41">
        <f>'Monthly Budget'!F17</f>
        <v>15.466132499999997</v>
      </c>
      <c r="D43" s="41">
        <f>'Monthly Budget'!G17</f>
        <v>16.4639475</v>
      </c>
      <c r="E43" s="41">
        <f>'Monthly Budget'!H17</f>
        <v>17.960669999999997</v>
      </c>
      <c r="F43" s="41">
        <f>'Monthly Budget'!I17</f>
        <v>9.4143124999999994</v>
      </c>
      <c r="G43" s="41">
        <f>'Monthly Budget'!J17</f>
        <v>10.021687499999999</v>
      </c>
      <c r="H43" s="41">
        <f>'Monthly Budget'!K17</f>
        <v>10.932749999999999</v>
      </c>
      <c r="I43" s="41">
        <f>'Monthly Budget'!L17</f>
        <v>12.250269999999999</v>
      </c>
      <c r="J43" s="41">
        <f>'Monthly Budget'!M17</f>
        <v>13.040610000000001</v>
      </c>
      <c r="K43" s="41">
        <f>'Monthly Budget'!N17</f>
        <v>14.226119999999998</v>
      </c>
      <c r="L43" s="41">
        <f>'Monthly Budget'!O17</f>
        <v>14.056484999999999</v>
      </c>
      <c r="M43" s="41">
        <f>'Monthly Budget'!P17</f>
        <v>14.963355</v>
      </c>
      <c r="N43" s="41">
        <f>'Monthly Budget'!Q17</f>
        <v>16.323659999999997</v>
      </c>
    </row>
    <row r="44" spans="2:14" ht="15.75" customHeight="1" x14ac:dyDescent="0.2">
      <c r="B44" s="25" t="s">
        <v>153</v>
      </c>
      <c r="C44" s="41">
        <f>'Rolling Forecast'!D18</f>
        <v>18.315233999999997</v>
      </c>
      <c r="D44" s="41">
        <f>'Rolling Forecast'!E18</f>
        <v>15.610003499999998</v>
      </c>
      <c r="E44" s="41">
        <f>'Rolling Forecast'!F18</f>
        <v>16.617100499999999</v>
      </c>
      <c r="F44" s="41">
        <f>'Rolling Forecast'!G18</f>
        <v>18.127745999999998</v>
      </c>
      <c r="G44" s="41">
        <f>'Rolling Forecast'!H18</f>
        <v>9.5018875000000005</v>
      </c>
      <c r="H44" s="41">
        <f>'Rolling Forecast'!I18</f>
        <v>10.114912499999999</v>
      </c>
      <c r="I44" s="41">
        <f>'Rolling Forecast'!J18</f>
        <v>11.03445</v>
      </c>
      <c r="J44" s="41">
        <f>'Rolling Forecast'!K18</f>
        <v>12.364226</v>
      </c>
      <c r="K44" s="41">
        <f>'Rolling Forecast'!L18</f>
        <v>13.161918</v>
      </c>
      <c r="L44" s="41">
        <f>'Rolling Forecast'!M18</f>
        <v>14.358455999999999</v>
      </c>
      <c r="M44" s="41">
        <f>'Rolling Forecast'!N18</f>
        <v>14.187242999999999</v>
      </c>
      <c r="N44" s="41">
        <f>'Rolling Forecast'!O18</f>
        <v>15.102549000000002</v>
      </c>
    </row>
    <row r="45" spans="2:14" ht="15.75" customHeight="1" x14ac:dyDescent="0.2">
      <c r="B45" s="25" t="s">
        <v>151</v>
      </c>
      <c r="C45" s="41">
        <f>C44-C43</f>
        <v>2.8491014999999997</v>
      </c>
      <c r="D45" s="41">
        <f>D44-D43</f>
        <v>-0.85394400000000203</v>
      </c>
      <c r="E45" s="41">
        <f>E44-E43</f>
        <v>-1.3435694999999974</v>
      </c>
      <c r="F45" s="41">
        <f>F44-F43</f>
        <v>8.7134334999999989</v>
      </c>
      <c r="G45" s="41">
        <f>G44-G43</f>
        <v>-0.51979999999999826</v>
      </c>
      <c r="H45" s="41">
        <f>H44-H43</f>
        <v>-0.81783749999999955</v>
      </c>
      <c r="I45" s="41">
        <f>I44-I43</f>
        <v>-1.215819999999999</v>
      </c>
      <c r="J45" s="41">
        <f>J44-J43</f>
        <v>-0.67638400000000054</v>
      </c>
      <c r="K45" s="41">
        <f>K44-K43</f>
        <v>-1.0642019999999981</v>
      </c>
      <c r="L45" s="41">
        <f>L44-L43</f>
        <v>0.30197099999999999</v>
      </c>
      <c r="M45" s="41">
        <f>M44-M43</f>
        <v>-0.77611200000000125</v>
      </c>
      <c r="N45" s="41">
        <f>N44-N43</f>
        <v>-1.2211109999999952</v>
      </c>
    </row>
    <row r="46" spans="2:14" ht="15.75" customHeight="1" x14ac:dyDescent="0.2">
      <c r="B46" s="25" t="s">
        <v>152</v>
      </c>
      <c r="C46" s="55">
        <f>IFERROR((C44-C43)/ABS(C43),0)</f>
        <v>0.18421551089129751</v>
      </c>
      <c r="D46" s="55">
        <f>IFERROR((D44-D43)/ABS(D43),0)</f>
        <v>-5.1867512332628735E-2</v>
      </c>
      <c r="E46" s="55">
        <f>IFERROR((E44-E43)/ABS(E43),0)</f>
        <v>-7.4806201550387461E-2</v>
      </c>
      <c r="F46" s="55">
        <f>IFERROR((F44-F43)/ABS(F43),0)</f>
        <v>0.92555175962132119</v>
      </c>
      <c r="G46" s="55">
        <f>IFERROR((G44-G43)/ABS(G43),0)</f>
        <v>-5.1867512332628443E-2</v>
      </c>
      <c r="H46" s="55">
        <f>IFERROR((H44-H43)/ABS(H43),0)</f>
        <v>-7.4806201550387572E-2</v>
      </c>
      <c r="I46" s="55">
        <f>IFERROR((I44-I43)/ABS(I43),0)</f>
        <v>-9.9248424728597753E-2</v>
      </c>
      <c r="J46" s="55">
        <f>IFERROR((J44-J43)/ABS(J43),0)</f>
        <v>-5.1867512332628651E-2</v>
      </c>
      <c r="K46" s="55">
        <f>IFERROR((K44-K43)/ABS(K43),0)</f>
        <v>-7.4806201550387474E-2</v>
      </c>
      <c r="L46" s="55">
        <f>IFERROR((L44-L43)/ABS(L43),0)</f>
        <v>2.1482682192596515E-2</v>
      </c>
      <c r="M46" s="55">
        <f>IFERROR((M44-M43)/ABS(M43),0)</f>
        <v>-5.1867512332628693E-2</v>
      </c>
      <c r="N46" s="55">
        <f>IFERROR((N44-N43)/ABS(N43),0)</f>
        <v>-7.4806201550387322E-2</v>
      </c>
    </row>
    <row r="47" spans="2:14" ht="15.75" customHeight="1" x14ac:dyDescent="0.15"/>
    <row r="48" spans="2:14" ht="15.75" customHeight="1" x14ac:dyDescent="0.2">
      <c r="B48" s="40" t="s">
        <v>112</v>
      </c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</row>
    <row r="49" spans="2:14" ht="15.75" customHeight="1" x14ac:dyDescent="0.2">
      <c r="B49" s="25" t="s">
        <v>149</v>
      </c>
      <c r="C49" s="41">
        <f>'Monthly Budget'!F19</f>
        <v>93.701703444959989</v>
      </c>
      <c r="D49" s="41">
        <f>'Monthly Budget'!G19</f>
        <v>87.519054378360011</v>
      </c>
      <c r="E49" s="41">
        <f>'Monthly Budget'!H19</f>
        <v>92.700233565480005</v>
      </c>
      <c r="F49" s="41">
        <f>'Monthly Budget'!I19</f>
        <v>106.07211459135996</v>
      </c>
      <c r="G49" s="41">
        <f>'Monthly Budget'!J19</f>
        <v>88.515364148640003</v>
      </c>
      <c r="H49" s="41">
        <f>'Monthly Budget'!K19</f>
        <v>93.77559585792001</v>
      </c>
      <c r="I49" s="41">
        <f>'Monthly Budget'!L19</f>
        <v>103.52958219584004</v>
      </c>
      <c r="J49" s="41">
        <f>'Monthly Budget'!M19</f>
        <v>105.40448349684003</v>
      </c>
      <c r="K49" s="41">
        <f>'Monthly Budget'!N19</f>
        <v>111.66865897932001</v>
      </c>
      <c r="L49" s="41">
        <f>'Monthly Budget'!O19</f>
        <v>127.82184833423997</v>
      </c>
      <c r="M49" s="41">
        <f>'Monthly Budget'!P19</f>
        <v>99.486305653679977</v>
      </c>
      <c r="N49" s="41">
        <f>'Monthly Budget'!Q19</f>
        <v>105.39421107624003</v>
      </c>
    </row>
    <row r="50" spans="2:14" ht="15.75" customHeight="1" x14ac:dyDescent="0.2">
      <c r="B50" s="25" t="s">
        <v>153</v>
      </c>
      <c r="C50" s="41">
        <f>'Rolling Forecast'!D20</f>
        <v>90.636494966639972</v>
      </c>
      <c r="D50" s="41">
        <f>'Rolling Forecast'!E20</f>
        <v>87.709564646239983</v>
      </c>
      <c r="E50" s="41">
        <f>'Rolling Forecast'!F20</f>
        <v>93.368246236320033</v>
      </c>
      <c r="F50" s="41">
        <f>'Rolling Forecast'!G20</f>
        <v>101.85626862144004</v>
      </c>
      <c r="G50" s="41">
        <f>'Rolling Forecast'!H20</f>
        <v>88.688606228360001</v>
      </c>
      <c r="H50" s="41">
        <f>'Rolling Forecast'!I20</f>
        <v>94.410451791480028</v>
      </c>
      <c r="I50" s="41">
        <f>'Rolling Forecast'!J20</f>
        <v>102.99322013616003</v>
      </c>
      <c r="J50" s="41">
        <f>'Rolling Forecast'!K20</f>
        <v>105.60830502886003</v>
      </c>
      <c r="K50" s="41">
        <f>'Rolling Forecast'!L20</f>
        <v>112.42174406297998</v>
      </c>
      <c r="L50" s="41">
        <f>'Rolling Forecast'!M20</f>
        <v>122.64190261415995</v>
      </c>
      <c r="M50" s="41">
        <f>'Rolling Forecast'!N20</f>
        <v>99.680959746120053</v>
      </c>
      <c r="N50" s="41">
        <f>'Rolling Forecast'!O20</f>
        <v>106.11198940716002</v>
      </c>
    </row>
    <row r="51" spans="2:14" ht="15.75" customHeight="1" x14ac:dyDescent="0.2">
      <c r="B51" s="25" t="s">
        <v>151</v>
      </c>
      <c r="C51" s="41">
        <f>C50-C49</f>
        <v>-3.0652084783200166</v>
      </c>
      <c r="D51" s="41">
        <f>D50-D49</f>
        <v>0.19051026787997216</v>
      </c>
      <c r="E51" s="41">
        <f>E50-E49</f>
        <v>0.66801267084002802</v>
      </c>
      <c r="F51" s="41">
        <f>F50-F49</f>
        <v>-4.2158459699199256</v>
      </c>
      <c r="G51" s="41">
        <f>G50-G49</f>
        <v>0.17324207971999783</v>
      </c>
      <c r="H51" s="41">
        <f>H50-H49</f>
        <v>0.63485593356001857</v>
      </c>
      <c r="I51" s="41">
        <f>I50-I49</f>
        <v>-0.53636205968000183</v>
      </c>
      <c r="J51" s="41">
        <f>J50-J49</f>
        <v>0.20382153202000097</v>
      </c>
      <c r="K51" s="41">
        <f>K50-K49</f>
        <v>0.75308508365996829</v>
      </c>
      <c r="L51" s="41">
        <f>L50-L49</f>
        <v>-5.1799457200800276</v>
      </c>
      <c r="M51" s="41">
        <f>M50-M49</f>
        <v>0.19465409244007503</v>
      </c>
      <c r="N51" s="41">
        <f>N50-N49</f>
        <v>0.7177783309199981</v>
      </c>
    </row>
    <row r="52" spans="2:14" ht="15.75" customHeight="1" x14ac:dyDescent="0.2">
      <c r="B52" s="25" t="s">
        <v>152</v>
      </c>
      <c r="C52" s="55">
        <f>IFERROR((C50-C49)/ABS(C49),0)</f>
        <v>-3.2712409333310662E-2</v>
      </c>
      <c r="D52" s="55">
        <f>IFERROR((D50-D49)/ABS(D49),0)</f>
        <v>2.1767861779717515E-3</v>
      </c>
      <c r="E52" s="55">
        <f>IFERROR((E50-E49)/ABS(E49),0)</f>
        <v>7.2061595224371111E-3</v>
      </c>
      <c r="F52" s="55">
        <f>IFERROR((F50-F49)/ABS(F49),0)</f>
        <v>-3.9745092158870989E-2</v>
      </c>
      <c r="G52" s="55">
        <f>IFERROR((G50-G49)/ABS(G49),0)</f>
        <v>1.9571978422760587E-3</v>
      </c>
      <c r="H52" s="55">
        <f>IFERROR((H50-H49)/ABS(H49),0)</f>
        <v>6.7699482765419348E-3</v>
      </c>
      <c r="I52" s="55">
        <f>IFERROR((I50-I49)/ABS(I49),0)</f>
        <v>-5.180761366016153E-3</v>
      </c>
      <c r="J52" s="55">
        <f>IFERROR((J50-J49)/ABS(J49),0)</f>
        <v>1.933708370442434E-3</v>
      </c>
      <c r="K52" s="55">
        <f>IFERROR((K50-K49)/ABS(K49),0)</f>
        <v>6.7439252028577918E-3</v>
      </c>
      <c r="L52" s="55">
        <f>IFERROR((L50-L49)/ABS(L49),0)</f>
        <v>-4.0524728656207848E-2</v>
      </c>
      <c r="M52" s="55">
        <f>IFERROR((M50-M49)/ABS(M49),0)</f>
        <v>1.9565918259914282E-3</v>
      </c>
      <c r="N52" s="55">
        <f>IFERROR((N50-N49)/ABS(N49),0)</f>
        <v>6.8104151413095346E-3</v>
      </c>
    </row>
    <row r="53" spans="2:14" ht="15.75" customHeight="1" x14ac:dyDescent="0.15"/>
    <row r="54" spans="2:14" ht="15.75" customHeight="1" x14ac:dyDescent="0.2">
      <c r="B54" s="40" t="s">
        <v>39</v>
      </c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</row>
    <row r="55" spans="2:14" ht="15.75" customHeight="1" x14ac:dyDescent="0.2">
      <c r="B55" s="25" t="s">
        <v>149</v>
      </c>
      <c r="C55" s="41">
        <f>'Monthly Budget'!F20</f>
        <v>310.1849493350399</v>
      </c>
      <c r="D55" s="41">
        <f>'Monthly Budget'!G20</f>
        <v>289.71824897664004</v>
      </c>
      <c r="E55" s="41">
        <f>'Monthly Budget'!H20</f>
        <v>306.86973869951998</v>
      </c>
      <c r="F55" s="41">
        <f>'Monthly Budget'!I20</f>
        <v>351.13527588863985</v>
      </c>
      <c r="G55" s="41">
        <f>'Monthly Budget'!J20</f>
        <v>293.01637787136002</v>
      </c>
      <c r="H55" s="41">
        <f>'Monthly Budget'!K20</f>
        <v>310.42955870208004</v>
      </c>
      <c r="I55" s="41">
        <f>'Monthly Budget'!L20</f>
        <v>342.71861692416013</v>
      </c>
      <c r="J55" s="41">
        <f>'Monthly Budget'!M20</f>
        <v>348.92518674816006</v>
      </c>
      <c r="K55" s="41">
        <f>'Monthly Budget'!N20</f>
        <v>369.66176765568002</v>
      </c>
      <c r="L55" s="41">
        <f>'Monthly Budget'!O20</f>
        <v>423.13439448575986</v>
      </c>
      <c r="M55" s="41">
        <f>'Monthly Budget'!P20</f>
        <v>329.33397733631989</v>
      </c>
      <c r="N55" s="41">
        <f>'Monthly Budget'!Q20</f>
        <v>348.89118149376009</v>
      </c>
    </row>
    <row r="56" spans="2:14" ht="15.75" customHeight="1" x14ac:dyDescent="0.2">
      <c r="B56" s="25" t="s">
        <v>153</v>
      </c>
      <c r="C56" s="41">
        <f>'Rolling Forecast'!D21</f>
        <v>295.05071765735994</v>
      </c>
      <c r="D56" s="41">
        <f>'Rolling Forecast'!E21</f>
        <v>285.52262533775996</v>
      </c>
      <c r="E56" s="41">
        <f>'Rolling Forecast'!F21</f>
        <v>303.94343987568016</v>
      </c>
      <c r="F56" s="41">
        <f>'Rolling Forecast'!G21</f>
        <v>331.57466168256013</v>
      </c>
      <c r="G56" s="41">
        <f>'Rolling Forecast'!H21</f>
        <v>288.70971814763999</v>
      </c>
      <c r="H56" s="41">
        <f>'Rolling Forecast'!I21</f>
        <v>307.33615157652014</v>
      </c>
      <c r="I56" s="41">
        <f>'Rolling Forecast'!J21</f>
        <v>335.27580171984016</v>
      </c>
      <c r="J56" s="41">
        <f>'Rolling Forecast'!K21</f>
        <v>343.78873764714012</v>
      </c>
      <c r="K56" s="41">
        <f>'Rolling Forecast'!L21</f>
        <v>365.96865620501995</v>
      </c>
      <c r="L56" s="41">
        <f>'Rolling Forecast'!M21</f>
        <v>399.23853404183984</v>
      </c>
      <c r="M56" s="41">
        <f>'Rolling Forecast'!N21</f>
        <v>324.4933370458802</v>
      </c>
      <c r="N56" s="41">
        <f>'Rolling Forecast'!O21</f>
        <v>345.42839104884013</v>
      </c>
    </row>
    <row r="57" spans="2:14" ht="15.75" customHeight="1" x14ac:dyDescent="0.2">
      <c r="B57" s="25" t="s">
        <v>151</v>
      </c>
      <c r="C57" s="41">
        <f>C56-C55</f>
        <v>-15.134231677679963</v>
      </c>
      <c r="D57" s="41">
        <f>D56-D55</f>
        <v>-4.1956236388800789</v>
      </c>
      <c r="E57" s="41">
        <f>E56-E55</f>
        <v>-2.9262988238398293</v>
      </c>
      <c r="F57" s="41">
        <f>F56-F55</f>
        <v>-19.56061420607972</v>
      </c>
      <c r="G57" s="41">
        <f>G56-G55</f>
        <v>-4.3066597237200313</v>
      </c>
      <c r="H57" s="41">
        <f>H56-H55</f>
        <v>-3.0934071255599065</v>
      </c>
      <c r="I57" s="41">
        <f>I56-I55</f>
        <v>-7.4428152043199702</v>
      </c>
      <c r="J57" s="41">
        <f>J56-J55</f>
        <v>-5.1364491010199345</v>
      </c>
      <c r="K57" s="41">
        <f>K56-K55</f>
        <v>-3.6931114506600693</v>
      </c>
      <c r="L57" s="41">
        <f>L56-L55</f>
        <v>-23.895860443920014</v>
      </c>
      <c r="M57" s="41">
        <f>M56-M55</f>
        <v>-4.8406402904396941</v>
      </c>
      <c r="N57" s="41">
        <f>N56-N55</f>
        <v>-3.4627904449199605</v>
      </c>
    </row>
    <row r="58" spans="2:14" ht="15.75" customHeight="1" x14ac:dyDescent="0.2">
      <c r="B58" s="25" t="s">
        <v>152</v>
      </c>
      <c r="C58" s="55">
        <f>IFERROR((C56-C55)/ABS(C55),0)</f>
        <v>-4.8790992954764655E-2</v>
      </c>
      <c r="D58" s="55">
        <f>IFERROR((D56-D55)/ABS(D55),0)</f>
        <v>-1.448173752844396E-2</v>
      </c>
      <c r="E58" s="55">
        <f>IFERROR((E56-E55)/ABS(E55),0)</f>
        <v>-9.5359641398371827E-3</v>
      </c>
      <c r="F58" s="55">
        <f>IFERROR((F56-F55)/ABS(F55),0)</f>
        <v>-5.5706776132293911E-2</v>
      </c>
      <c r="G58" s="55">
        <f>IFERROR((G56-G55)/ABS(G55),0)</f>
        <v>-1.4697675792070366E-2</v>
      </c>
      <c r="H58" s="55">
        <f>IFERROR((H56-H55)/ABS(H55),0)</f>
        <v>-9.9649245339057946E-3</v>
      </c>
      <c r="I58" s="55">
        <f>IFERROR((I56-I55)/ABS(I55),0)</f>
        <v>-2.1716985412458593E-2</v>
      </c>
      <c r="J58" s="55">
        <f>IFERROR((J56-J55)/ABS(J55),0)</f>
        <v>-1.4720774813906493E-2</v>
      </c>
      <c r="K58" s="55">
        <f>IFERROR((K56-K55)/ABS(K55),0)</f>
        <v>-9.990515043200256E-3</v>
      </c>
      <c r="L58" s="55">
        <f>IFERROR((L56-L55)/ABS(L55),0)</f>
        <v>-5.6473453246363797E-2</v>
      </c>
      <c r="M58" s="55">
        <f>IFERROR((M56-M55)/ABS(M55),0)</f>
        <v>-1.4698271734945747E-2</v>
      </c>
      <c r="N58" s="55">
        <f>IFERROR((N56-N55)/ABS(N55),0)</f>
        <v>-9.9251303231402896E-3</v>
      </c>
    </row>
    <row r="59" spans="2:14" ht="15.75" customHeight="1" x14ac:dyDescent="0.15"/>
    <row r="60" spans="2:14" ht="15.75" customHeight="1" x14ac:dyDescent="0.15"/>
    <row r="61" spans="2:14" ht="15.75" customHeight="1" x14ac:dyDescent="0.15"/>
    <row r="62" spans="2:14" ht="15.75" customHeight="1" x14ac:dyDescent="0.15"/>
    <row r="63" spans="2:14" ht="15.75" customHeight="1" x14ac:dyDescent="0.15"/>
    <row r="64" spans="2:1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</sheetData>
  <mergeCells count="1">
    <mergeCell ref="B2:N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K100"/>
  <sheetViews>
    <sheetView showGridLines="0" zoomScaleNormal="100" workbookViewId="0"/>
  </sheetViews>
  <sheetFormatPr defaultColWidth="14.46484375" defaultRowHeight="13.5" x14ac:dyDescent="0.15"/>
  <cols>
    <col min="1" max="1" width="1.9609375" style="15" customWidth="1"/>
    <col min="2" max="2" width="56.0234375" style="15" customWidth="1"/>
    <col min="3" max="3" width="14.83203125" style="15" customWidth="1"/>
    <col min="4" max="4" width="15.93359375" style="15" customWidth="1"/>
    <col min="5" max="5" width="9.19140625" style="15" customWidth="1"/>
    <col min="6" max="6" width="10.6640625" style="15" customWidth="1"/>
    <col min="7" max="7" width="81.40234375" style="15" customWidth="1"/>
    <col min="8" max="8" width="18.87890625" style="15" customWidth="1"/>
    <col min="9" max="11" width="8.703125" style="15" customWidth="1"/>
  </cols>
  <sheetData>
    <row r="2" spans="2:8" ht="15" customHeight="1" x14ac:dyDescent="0.2">
      <c r="B2" s="120" t="str">
        <f>"Variance Analysis  -"&amp;'Data Sheet'!B1</f>
        <v>Variance Analysis  -NESTLE INDIA LTD</v>
      </c>
      <c r="C2" s="120"/>
      <c r="D2" s="120"/>
      <c r="E2" s="120"/>
      <c r="F2" s="120"/>
      <c r="G2" s="120"/>
      <c r="H2" s="120"/>
    </row>
    <row r="4" spans="2:8" ht="15" customHeight="1" x14ac:dyDescent="0.2">
      <c r="B4" s="57" t="s">
        <v>154</v>
      </c>
      <c r="C4" s="57"/>
      <c r="D4" s="57"/>
      <c r="E4" s="57"/>
      <c r="F4" s="57"/>
      <c r="G4" s="57"/>
      <c r="H4" s="57"/>
    </row>
    <row r="5" spans="2:8" ht="15" customHeight="1" x14ac:dyDescent="0.2">
      <c r="B5" s="38" t="s">
        <v>155</v>
      </c>
      <c r="C5" s="38" t="s">
        <v>156</v>
      </c>
      <c r="D5" s="38" t="s">
        <v>157</v>
      </c>
      <c r="E5" s="38" t="s">
        <v>55</v>
      </c>
      <c r="F5" s="38" t="s">
        <v>56</v>
      </c>
      <c r="H5" s="38" t="s">
        <v>158</v>
      </c>
    </row>
    <row r="6" spans="2:8" ht="24" customHeight="1" x14ac:dyDescent="0.2">
      <c r="B6" s="25" t="s">
        <v>36</v>
      </c>
      <c r="C6" s="41">
        <f>'Budget VS Actuals'!C7+'Budget VS Actuals'!D7+'Budget VS Actuals'!E7</f>
        <v>5767.2331200000008</v>
      </c>
      <c r="D6" s="41">
        <f>'Budget VS Actuals'!C8+'Budget VS Actuals'!D8+'Budget VS Actuals'!E8</f>
        <v>6378.18</v>
      </c>
      <c r="E6" s="41">
        <f>D6-C6</f>
        <v>610.94687999999951</v>
      </c>
      <c r="F6" s="55">
        <f>IFERROR((D6-C6)/ABS(C6),0)</f>
        <v>0.10593413987052416</v>
      </c>
      <c r="G6" s="58" t="str">
        <f>IF(E6&gt;=0,"Revenue exceeded budget — attributable to the modelled revenue growth assumption; recent quarterly trends ran ahead of the budgeted growth rate.","Revenue fell short of budget — attributable to the modelled revenue growth assumption running ahead of the derived actual trend; likely driver based on model assumptions.")</f>
        <v>Revenue exceeded budget — attributable to the modelled revenue growth assumption; recent quarterly trends ran ahead of the budgeted growth rate.</v>
      </c>
    </row>
    <row r="7" spans="2:8" ht="24" customHeight="1" x14ac:dyDescent="0.2">
      <c r="B7" s="25" t="s">
        <v>58</v>
      </c>
      <c r="C7" s="41">
        <f>'Budget VS Actuals'!C13+'Budget VS Actuals'!D13+'Budget VS Actuals'!E13</f>
        <v>2237.6864505600001</v>
      </c>
      <c r="D7" s="41">
        <f>'Budget VS Actuals'!C14+'Budget VS Actuals'!D14+'Budget VS Actuals'!E14</f>
        <v>2395.8247500000002</v>
      </c>
      <c r="E7" s="41">
        <f>D7-C7</f>
        <v>158.13829944000008</v>
      </c>
      <c r="F7" s="55">
        <f>IFERROR((D7-C7)/ABS(C7),0)</f>
        <v>7.0670445986936475E-2</v>
      </c>
      <c r="G7" s="58" t="str">
        <f>IF(E7&lt;=0,"Material cost came in below budget as a % of revenue — primarily a function of the modelled COGS ratio versus actual mix; likely driver based on model assumptions.","Material cost exceeded budget as a % of revenue, resulting in margin pressure; likely driver based on model assumptions rather than a confirmed operational cause.")</f>
        <v>Material cost exceeded budget as a % of revenue, resulting in margin pressure; likely driver based on model assumptions rather than a confirmed operational cause.</v>
      </c>
    </row>
    <row r="8" spans="2:8" ht="15" customHeight="1" x14ac:dyDescent="0.2">
      <c r="B8" s="25" t="s">
        <v>59</v>
      </c>
      <c r="C8" s="41">
        <f>'Budget VS Actuals'!C19+'Budget VS Actuals'!D19+'Budget VS Actuals'!E19</f>
        <v>588.25777823999999</v>
      </c>
      <c r="D8" s="41">
        <f>'Budget VS Actuals'!C20+'Budget VS Actuals'!D20+'Budget VS Actuals'!E20</f>
        <v>638.88660000000004</v>
      </c>
      <c r="E8" s="41">
        <f>D8-C8</f>
        <v>50.628821760000051</v>
      </c>
      <c r="F8" s="55">
        <f>IFERROR((D8-C8)/ABS(C8),0)</f>
        <v>8.6065707301781369E-2</v>
      </c>
      <c r="G8" s="58" t="str">
        <f>IF(E8&lt;=0,"Employee costs tracked below budget; variance is primarily attributable to the modelled cost ratio versus the derived actual run-rate.","Employee costs increased faster than budgeted relative to revenue.")</f>
        <v>Employee costs increased faster than budgeted relative to revenue.</v>
      </c>
    </row>
    <row r="9" spans="2:8" ht="15" customHeight="1" x14ac:dyDescent="0.2">
      <c r="B9" s="25" t="s">
        <v>60</v>
      </c>
      <c r="C9" s="41">
        <f>'Budget VS Actuals'!C25+'Budget VS Actuals'!D25+'Budget VS Actuals'!E25</f>
        <v>1620.5925067200003</v>
      </c>
      <c r="D9" s="41">
        <f>'Budget VS Actuals'!C26+'Budget VS Actuals'!D26+'Budget VS Actuals'!E26</f>
        <v>1805.3386500000001</v>
      </c>
      <c r="E9" s="41">
        <f>D9-C9</f>
        <v>184.74614327999984</v>
      </c>
      <c r="F9" s="55">
        <f>IFERROR((D9-C9)/ABS(C9),0)</f>
        <v>0.11399913458437308</v>
      </c>
      <c r="G9" s="58" t="str">
        <f>IF(E9&lt;=0,"Other operating expenses ran below budget as a % of revenue; variance is primarily attributable to the modelled cost assumption.","Other operating expenses exceeded the budgeted % of revenue.")</f>
        <v>Other operating expenses exceeded the budgeted % of revenue.</v>
      </c>
    </row>
    <row r="10" spans="2:8" ht="15" customHeight="1" x14ac:dyDescent="0.2">
      <c r="B10" s="25" t="s">
        <v>37</v>
      </c>
      <c r="C10" s="41">
        <f>'Budget VS Actuals'!C31+'Budget VS Actuals'!D31+'Budget VS Actuals'!E31</f>
        <v>1320.69638448</v>
      </c>
      <c r="D10" s="41">
        <f>'Budget VS Actuals'!C32+'Budget VS Actuals'!D32+'Budget VS Actuals'!E32</f>
        <v>1538.1300000000003</v>
      </c>
      <c r="E10" s="41">
        <f>D10-C10</f>
        <v>217.43361552000033</v>
      </c>
      <c r="F10" s="55">
        <f>IFERROR((D10-C10)/ABS(C10),0)</f>
        <v>0.16463558019477037</v>
      </c>
      <c r="G10" s="58" t="str">
        <f>IF(E10&gt;=0,"EBITDA outperformed budget, driven through from the favourable revenue and cost-ratio variances above.","EBITDA fell short of budget, driven through from the unfavourable revenue/cost variances above.")</f>
        <v>EBITDA outperformed budget, driven through from the favourable revenue and cost-ratio variances above.</v>
      </c>
    </row>
    <row r="11" spans="2:8" ht="15" customHeight="1" x14ac:dyDescent="0.2">
      <c r="B11" s="25" t="s">
        <v>108</v>
      </c>
      <c r="C11" s="41">
        <f>'Budget VS Actuals'!C37+'Budget VS Actuals'!D37+'Budget VS Actuals'!E37</f>
        <v>173.26176000000001</v>
      </c>
      <c r="D11" s="41">
        <f>'Budget VS Actuals'!C38+'Budget VS Actuals'!D38+'Budget VS Actuals'!E38</f>
        <v>187.8</v>
      </c>
      <c r="E11" s="41">
        <f>D11-C11</f>
        <v>14.538240000000002</v>
      </c>
      <c r="F11" s="55">
        <f>IFERROR((D11-C11)/ABS(C11),0)</f>
        <v>8.3909109546157212E-2</v>
      </c>
      <c r="G11" s="58" t="str">
        <f>IF(E11&lt;=0,"Depreciation tracked below the budgeted % of revenue.","Depreciation exceeded the budgeted % of revenue.")</f>
        <v>Depreciation exceeded the budgeted % of revenue.</v>
      </c>
    </row>
    <row r="12" spans="2:8" ht="15" customHeight="1" x14ac:dyDescent="0.2">
      <c r="B12" s="25" t="s">
        <v>110</v>
      </c>
      <c r="C12" s="41">
        <f>'Budget VS Actuals'!C43+'Budget VS Actuals'!D43+'Budget VS Actuals'!E43</f>
        <v>50.406750000000002</v>
      </c>
      <c r="D12" s="41">
        <f>'Budget VS Actuals'!C44+'Budget VS Actuals'!D44+'Budget VS Actuals'!E44</f>
        <v>42.18</v>
      </c>
      <c r="E12" s="41">
        <f>D12-C12</f>
        <v>-8.2267500000000027</v>
      </c>
      <c r="F12" s="55">
        <f>IFERROR((D12-C12)/ABS(C12),0)</f>
        <v>-0.16320730854498658</v>
      </c>
      <c r="G12" s="58" t="str">
        <f>IF(E12&lt;=0,"Finance costs came in below the budgeted % of revenue.","Finance costs exceeded the budgeted % of revenue.")</f>
        <v>Finance costs came in below the budgeted % of revenue.</v>
      </c>
    </row>
    <row r="13" spans="2:8" ht="15" customHeight="1" x14ac:dyDescent="0.2">
      <c r="B13" s="25" t="s">
        <v>112</v>
      </c>
      <c r="C13" s="41">
        <f>'Budget VS Actuals'!C49+'Budget VS Actuals'!D49+'Budget VS Actuals'!E49</f>
        <v>263.20745442431996</v>
      </c>
      <c r="D13" s="41">
        <f>'Budget VS Actuals'!C50+'Budget VS Actuals'!D50+'Budget VS Actuals'!E50</f>
        <v>349.27</v>
      </c>
      <c r="E13" s="41">
        <f>D13-C13</f>
        <v>86.062545575680019</v>
      </c>
      <c r="F13" s="55">
        <f>IFERROR((D13-C13)/ABS(C13),0)</f>
        <v>0.32697609482191009</v>
      </c>
      <c r="G13" s="58" t="str">
        <f>IF(E13&lt;=0,"Tax expense tracked below budget, consistent with the lower PBT-linked tax charge.","Tax expense exceeded budget, consistent with the higher PBT-linked tax charge.")</f>
        <v>Tax expense exceeded budget, consistent with the higher PBT-linked tax charge.</v>
      </c>
    </row>
    <row r="14" spans="2:8" ht="15" customHeight="1" x14ac:dyDescent="0.2">
      <c r="B14" s="25" t="s">
        <v>39</v>
      </c>
      <c r="C14" s="41">
        <f>'Budget VS Actuals'!C55+'Budget VS Actuals'!D55+'Budget VS Actuals'!E55</f>
        <v>871.30743533568</v>
      </c>
      <c r="D14" s="41">
        <f>'Budget VS Actuals'!C56+'Budget VS Actuals'!D56+'Budget VS Actuals'!E56</f>
        <v>975.12000000000046</v>
      </c>
      <c r="E14" s="41">
        <f>D14-C14</f>
        <v>103.81256466432046</v>
      </c>
      <c r="F14" s="55">
        <f>IFERROR((D14-C14)/ABS(C14),0)</f>
        <v>0.11914573485112706</v>
      </c>
      <c r="G14" s="58" t="str">
        <f>IF(E14&gt;=0,"PAT favourable overall, driven by the revenue and margin variances above.","PAT unfavourable overall, driven by the revenue and margin variances above.")</f>
        <v>PAT favourable overall, driven by the revenue and margin variances above.</v>
      </c>
    </row>
    <row r="16" spans="2:8" ht="15" customHeight="1" x14ac:dyDescent="0.2">
      <c r="B16" s="57" t="s">
        <v>159</v>
      </c>
      <c r="C16" s="57"/>
      <c r="D16" s="57"/>
      <c r="E16" s="57"/>
      <c r="F16" s="57"/>
      <c r="G16" s="57"/>
      <c r="H16" s="57"/>
    </row>
    <row r="17" spans="2:8" ht="15" customHeight="1" x14ac:dyDescent="0.2">
      <c r="B17" s="38" t="s">
        <v>155</v>
      </c>
      <c r="C17" s="38" t="s">
        <v>160</v>
      </c>
      <c r="D17" s="38" t="s">
        <v>161</v>
      </c>
      <c r="E17" s="38" t="s">
        <v>55</v>
      </c>
      <c r="F17" s="38" t="s">
        <v>56</v>
      </c>
      <c r="H17" s="38" t="s">
        <v>158</v>
      </c>
    </row>
    <row r="18" spans="2:8" ht="24" customHeight="1" x14ac:dyDescent="0.2">
      <c r="B18" s="25" t="s">
        <v>36</v>
      </c>
      <c r="C18" s="41">
        <f>SUM('Budget VS Forecast'!C7:N7)</f>
        <v>26372.602080000001</v>
      </c>
      <c r="D18" s="41">
        <f>SUM('Budget VS Forecast'!C8:N8)</f>
        <v>26852.103936000003</v>
      </c>
      <c r="E18" s="41">
        <f>D18-C18</f>
        <v>479.50185600000259</v>
      </c>
      <c r="F18" s="55">
        <f>IFERROR((D18-C18)/ABS(C18),0)</f>
        <v>1.8181818181818278E-2</v>
      </c>
      <c r="G18" s="58" t="str">
        <f>IF(E18&gt;=0,"Revenue exceeded budget — attributable to the modelled revenue growth assumption; recent quarterly trends ran ahead of the budgeted growth rate.","Revenue fell short of budget — attributable to the modelled revenue growth assumption running ahead of the derived actual trend; likely driver based on model assumptions.")</f>
        <v>Revenue exceeded budget — attributable to the modelled revenue growth assumption; recent quarterly trends ran ahead of the budgeted growth rate.</v>
      </c>
    </row>
    <row r="19" spans="2:8" ht="24" customHeight="1" x14ac:dyDescent="0.2">
      <c r="B19" s="25" t="s">
        <v>58</v>
      </c>
      <c r="C19" s="41">
        <f>SUM('Budget VS Forecast'!C13:N13)</f>
        <v>10232.569607039999</v>
      </c>
      <c r="D19" s="41">
        <f>SUM('Budget VS Forecast'!C14:N14)</f>
        <v>10606.581054720002</v>
      </c>
      <c r="E19" s="41">
        <f>D19-C19</f>
        <v>374.01144768000268</v>
      </c>
      <c r="F19" s="55">
        <f>IFERROR((D19-C19)/ABS(C19),0)</f>
        <v>3.6551077788191458E-2</v>
      </c>
      <c r="G19" s="58" t="str">
        <f>IF(E19&lt;=0,"Material cost came in below budget as a % of revenue — primarily a function of the modelled COGS ratio versus actual mix; likely driver based on model assumptions.","Material cost exceeded budget as a % of revenue, resulting in margin pressure; likely driver based on model assumptions rather than a confirmed operational cause.")</f>
        <v>Material cost exceeded budget as a % of revenue, resulting in margin pressure; likely driver based on model assumptions rather than a confirmed operational cause.</v>
      </c>
    </row>
    <row r="20" spans="2:8" ht="24" customHeight="1" x14ac:dyDescent="0.2">
      <c r="B20" s="25" t="s">
        <v>59</v>
      </c>
      <c r="C20" s="41">
        <f>SUM('Budget VS Forecast'!C19:N19)</f>
        <v>2690.0054121600006</v>
      </c>
      <c r="D20" s="41">
        <f>SUM('Budget VS Forecast'!C20:N20)</f>
        <v>2685.2103936000003</v>
      </c>
      <c r="E20" s="41">
        <f>D20-C20</f>
        <v>-4.7950185600002442</v>
      </c>
      <c r="F20" s="55">
        <f>IFERROR((D20-C20)/ABS(C20),0)</f>
        <v>-1.7825311942959905E-3</v>
      </c>
      <c r="G20" s="58" t="str">
        <f>IF(E20&lt;=0,"Employee costs tracked below budget; variance is primarily attributable to the modelled cost ratio versus the derived actual run-rate.","Employee costs increased faster than budgeted relative to revenue.")</f>
        <v>Employee costs tracked below budget; variance is primarily attributable to the modelled cost ratio versus the derived actual run-rate.</v>
      </c>
    </row>
    <row r="21" spans="2:8" ht="24" customHeight="1" x14ac:dyDescent="0.2">
      <c r="B21" s="25" t="s">
        <v>60</v>
      </c>
      <c r="C21" s="41">
        <f>SUM('Budget VS Forecast'!C25:N25)</f>
        <v>7410.7011844800027</v>
      </c>
      <c r="D21" s="41">
        <f>SUM('Budget VS Forecast'!C26:N26)</f>
        <v>7652.8496217600004</v>
      </c>
      <c r="E21" s="41">
        <f>D21-C21</f>
        <v>242.14843727999778</v>
      </c>
      <c r="F21" s="55">
        <f>IFERROR((D21-C21)/ABS(C21),0)</f>
        <v>3.2675509543836634E-2</v>
      </c>
      <c r="G21" s="58" t="str">
        <f>IF(E21&lt;=0,"Other operating expenses ran below budget as a % of revenue; variance is primarily attributable to the modelled cost assumption.","Other operating expenses exceeded the budgeted % of revenue.")</f>
        <v>Other operating expenses exceeded the budgeted % of revenue.</v>
      </c>
    </row>
    <row r="22" spans="2:8" ht="15.75" customHeight="1" x14ac:dyDescent="0.2">
      <c r="B22" s="25" t="s">
        <v>37</v>
      </c>
      <c r="C22" s="41">
        <f>SUM('Budget VS Forecast'!C31:N31)</f>
        <v>6039.325876320001</v>
      </c>
      <c r="D22" s="41">
        <f>SUM('Budget VS Forecast'!C32:N32)</f>
        <v>5907.4628659200007</v>
      </c>
      <c r="E22" s="41">
        <f>D22-C22</f>
        <v>-131.86301040000035</v>
      </c>
      <c r="F22" s="55">
        <f>IFERROR((D22-C22)/ABS(C22),0)</f>
        <v>-2.1834061135371233E-2</v>
      </c>
      <c r="G22" s="58" t="str">
        <f>IF(E22&gt;=0,"EBITDA outperformed budget, driven through from the favourable revenue and cost-ratio variances above.","EBITDA fell short of budget, driven through from the unfavourable revenue/cost variances above.")</f>
        <v>EBITDA fell short of budget, driven through from the unfavourable revenue/cost variances above.</v>
      </c>
    </row>
    <row r="23" spans="2:8" ht="15.75" customHeight="1" x14ac:dyDescent="0.2">
      <c r="B23" s="25" t="s">
        <v>108</v>
      </c>
      <c r="C23" s="41">
        <f>SUM('Budget VS Forecast'!C37:N37)</f>
        <v>806.01936000000023</v>
      </c>
      <c r="D23" s="41">
        <f>SUM('Budget VS Forecast'!C38:N38)</f>
        <v>794.47334199999989</v>
      </c>
      <c r="E23" s="41">
        <f>D23-C23</f>
        <v>-11.546018000000345</v>
      </c>
      <c r="F23" s="55">
        <f>IFERROR((D23-C23)/ABS(C23),0)</f>
        <v>-1.4324740289117052E-2</v>
      </c>
      <c r="G23" s="58" t="str">
        <f>IF(E23&lt;=0,"Depreciation tracked below the budgeted % of revenue.","Depreciation exceeded the budgeted % of revenue.")</f>
        <v>Depreciation tracked below the budgeted % of revenue.</v>
      </c>
    </row>
    <row r="24" spans="2:8" ht="15.75" customHeight="1" x14ac:dyDescent="0.2">
      <c r="B24" s="25" t="s">
        <v>110</v>
      </c>
      <c r="C24" s="41">
        <f>SUM('Budget VS Forecast'!C43:N43)</f>
        <v>165.12</v>
      </c>
      <c r="D24" s="41">
        <f>SUM('Budget VS Forecast'!C44:N44)</f>
        <v>168.49572599999999</v>
      </c>
      <c r="E24" s="41">
        <f>D24-C24</f>
        <v>3.375725999999986</v>
      </c>
      <c r="F24" s="55">
        <f>IFERROR((D24-C24)/ABS(C24),0)</f>
        <v>2.0444077034883636E-2</v>
      </c>
      <c r="G24" s="58" t="str">
        <f>IF(E24&lt;=0,"Finance costs came in below the budgeted % of revenue.","Finance costs exceeded the budgeted % of revenue.")</f>
        <v>Finance costs exceeded the budgeted % of revenue.</v>
      </c>
    </row>
    <row r="25" spans="2:8" ht="15.75" customHeight="1" x14ac:dyDescent="0.2">
      <c r="B25" s="25" t="s">
        <v>112</v>
      </c>
      <c r="C25" s="41">
        <f>SUM('Budget VS Forecast'!C49:N49)</f>
        <v>1215.5891557228799</v>
      </c>
      <c r="D25" s="41">
        <f>SUM('Budget VS Forecast'!C50:N50)</f>
        <v>1206.1277534859203</v>
      </c>
      <c r="E25" s="41">
        <f>D25-C25</f>
        <v>-9.4614022369596569</v>
      </c>
      <c r="F25" s="55">
        <f>IFERROR((D25-C25)/ABS(C25),0)</f>
        <v>-7.7833881557895293E-3</v>
      </c>
      <c r="G25" s="58" t="str">
        <f>IF(E25&lt;=0,"Tax expense tracked below budget, consistent with the lower PBT-linked tax charge.","Tax expense exceeded budget, consistent with the higher PBT-linked tax charge.")</f>
        <v>Tax expense tracked below budget, consistent with the lower PBT-linked tax charge.</v>
      </c>
    </row>
    <row r="26" spans="2:8" ht="15.75" customHeight="1" x14ac:dyDescent="0.2">
      <c r="B26" s="25" t="s">
        <v>39</v>
      </c>
      <c r="C26" s="41">
        <f>SUM('Budget VS Forecast'!C55:N55)</f>
        <v>4024.0192741171199</v>
      </c>
      <c r="D26" s="41">
        <f>SUM('Budget VS Forecast'!C56:N56)</f>
        <v>3926.3307719860809</v>
      </c>
      <c r="E26" s="41">
        <f>D26-C26</f>
        <v>-97.688502131039058</v>
      </c>
      <c r="F26" s="55">
        <f>IFERROR((D26-C26)/ABS(C26),0)</f>
        <v>-2.4276350453731901E-2</v>
      </c>
      <c r="G26" s="58" t="str">
        <f>IF(E26&gt;=0,"PAT favourable overall, driven by the revenue and margin variances above.","PAT unfavourable overall, driven by the revenue and margin variances above.")</f>
        <v>PAT unfavourable overall, driven by the revenue and margin variances above.</v>
      </c>
    </row>
    <row r="27" spans="2:8" ht="15.75" customHeight="1" x14ac:dyDescent="0.15"/>
    <row r="28" spans="2:8" ht="15.75" customHeight="1" x14ac:dyDescent="0.15"/>
    <row r="29" spans="2:8" ht="15.75" customHeight="1" x14ac:dyDescent="0.15"/>
    <row r="30" spans="2:8" ht="15.75" customHeight="1" x14ac:dyDescent="0.15"/>
    <row r="31" spans="2:8" ht="15.75" customHeight="1" x14ac:dyDescent="0.15"/>
    <row r="32" spans="2: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</sheetData>
  <mergeCells count="1">
    <mergeCell ref="B2:H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E46"/>
  <sheetViews>
    <sheetView showGridLines="0" zoomScaleNormal="100" workbookViewId="0"/>
  </sheetViews>
  <sheetFormatPr defaultColWidth="8.578125" defaultRowHeight="13.5" x14ac:dyDescent="0.15"/>
  <cols>
    <col min="1" max="1" width="1.9609375" style="15" customWidth="1"/>
    <col min="2" max="2" width="39.96484375" style="15" customWidth="1"/>
    <col min="3" max="3" width="27.94921875" style="15" customWidth="1"/>
    <col min="4" max="4" width="50.015625" style="15" customWidth="1"/>
    <col min="5" max="5" width="12.01171875" style="15" customWidth="1"/>
  </cols>
  <sheetData>
    <row r="2" spans="1:5" ht="21.75" customHeight="1" x14ac:dyDescent="0.15">
      <c r="B2" s="122" t="str">
        <f>'Data Sheet'!B1&amp;" — Model Checks"</f>
        <v>NESTLE INDIA LTD — Model Checks</v>
      </c>
      <c r="C2" s="122"/>
      <c r="D2" s="122"/>
      <c r="E2" s="122"/>
    </row>
    <row r="3" spans="1:5" ht="25.5" customHeight="1" x14ac:dyDescent="0.15">
      <c r="B3" s="121" t="s">
        <v>162</v>
      </c>
      <c r="C3" s="121"/>
      <c r="D3" s="121"/>
      <c r="E3" s="121"/>
    </row>
    <row r="5" spans="1:5" ht="15" customHeight="1" x14ac:dyDescent="0.2">
      <c r="B5" s="40" t="s">
        <v>163</v>
      </c>
      <c r="C5" s="40" t="s">
        <v>164</v>
      </c>
      <c r="D5" s="40" t="s">
        <v>165</v>
      </c>
      <c r="E5" s="40" t="s">
        <v>126</v>
      </c>
    </row>
    <row r="6" spans="1:5" ht="30" customHeight="1" x14ac:dyDescent="0.15">
      <c r="A6" s="59"/>
      <c r="B6" s="60" t="s">
        <v>166</v>
      </c>
      <c r="C6" s="61">
        <f>Assumptions!E7</f>
        <v>1</v>
      </c>
      <c r="D6" s="60" t="s">
        <v>167</v>
      </c>
      <c r="E6" s="62" t="str">
        <f>IF(ABS(Assumptions!E7-1)&lt;0.0001,"OK","FLAG")</f>
        <v>OK</v>
      </c>
    </row>
    <row r="7" spans="1:5" ht="30" customHeight="1" x14ac:dyDescent="0.15">
      <c r="A7" s="59"/>
      <c r="B7" s="60" t="s">
        <v>168</v>
      </c>
      <c r="C7" s="61">
        <f>Assumptions!E32</f>
        <v>1</v>
      </c>
      <c r="D7" s="60" t="s">
        <v>169</v>
      </c>
      <c r="E7" s="62" t="str">
        <f>IF(ABS(Assumptions!E32-1)&lt;0.0001,"OK","FLAG")</f>
        <v>OK</v>
      </c>
    </row>
    <row r="8" spans="1:5" ht="30" customHeight="1" x14ac:dyDescent="0.15">
      <c r="A8" s="59"/>
      <c r="B8" s="60" t="s">
        <v>170</v>
      </c>
      <c r="C8" s="62" t="str">
        <f>'Monthly Actuals'!C45</f>
        <v>ALL QUARTERS RECONCILE</v>
      </c>
      <c r="D8" s="60" t="s">
        <v>171</v>
      </c>
      <c r="E8" s="62" t="str">
        <f>IF('Monthly Actuals'!C45="ALL QUARTERS RECONCILE","OK","FLAG")</f>
        <v>OK</v>
      </c>
    </row>
    <row r="9" spans="1:5" ht="30" customHeight="1" x14ac:dyDescent="0.15">
      <c r="A9" s="59"/>
      <c r="B9" s="60" t="s">
        <v>172</v>
      </c>
      <c r="C9" s="63">
        <f>'Monthly Budget'!C23</f>
        <v>26372.602080000001</v>
      </c>
      <c r="D9" s="60" t="s">
        <v>173</v>
      </c>
      <c r="E9" s="62" t="str">
        <f>IF('Monthly Budget'!C23&gt;0,"OK","FLAG")</f>
        <v>OK</v>
      </c>
    </row>
    <row r="10" spans="1:5" ht="30" customHeight="1" x14ac:dyDescent="0.15">
      <c r="A10" s="59"/>
      <c r="B10" s="60" t="s">
        <v>174</v>
      </c>
      <c r="C10" s="62">
        <f>'Monthly Budget'!C24/'Monthly Budget'!C23</f>
        <v>0.22900000000000004</v>
      </c>
      <c r="D10" s="60" t="s">
        <v>175</v>
      </c>
      <c r="E10" s="62" t="str">
        <f>IF(AND(('Monthly Budget'!C24/'Monthly Budget'!C23)&gt;0,('Monthly Budget'!C24/'Monthly Budget'!C23)&lt;1),"OK","FLAG")</f>
        <v>OK</v>
      </c>
    </row>
    <row r="11" spans="1:5" ht="30" customHeight="1" x14ac:dyDescent="0.15">
      <c r="A11" s="59"/>
      <c r="B11" s="60" t="s">
        <v>176</v>
      </c>
      <c r="C11" s="63">
        <f>'Rolling Forecast'!C25</f>
        <v>26852.103936000003</v>
      </c>
      <c r="D11" s="60" t="s">
        <v>177</v>
      </c>
      <c r="E11" s="62" t="str">
        <f>IF('Rolling Forecast'!C25&gt;0,"OK","FLAG")</f>
        <v>OK</v>
      </c>
    </row>
    <row r="12" spans="1:5" ht="30" customHeight="1" x14ac:dyDescent="0.15">
      <c r="A12" s="59"/>
      <c r="B12" s="60" t="s">
        <v>178</v>
      </c>
      <c r="C12" s="62">
        <f>'Rolling Forecast'!C26/'Rolling Forecast'!C25</f>
        <v>0.22</v>
      </c>
      <c r="D12" s="60" t="s">
        <v>175</v>
      </c>
      <c r="E12" s="62" t="str">
        <f>IF(AND(('Rolling Forecast'!C26/'Rolling Forecast'!C25)&gt;0,('Rolling Forecast'!C26/'Rolling Forecast'!C25)&lt;1),"OK","FLAG")</f>
        <v>OK</v>
      </c>
    </row>
    <row r="13" spans="1:5" ht="30" customHeight="1" x14ac:dyDescent="0.15">
      <c r="A13" s="59"/>
      <c r="B13" s="60" t="s">
        <v>179</v>
      </c>
      <c r="C13" s="63">
        <f>'Variance Analysis'!E6</f>
        <v>610.94687999999951</v>
      </c>
      <c r="D13" s="60" t="s">
        <v>180</v>
      </c>
      <c r="E13" s="62" t="str">
        <f>IF(ROUND('Variance Analysis'!E6-('Variance Analysis'!D6-'Variance Analysis'!C6),2)=0,"OK","FLAG")</f>
        <v>OK</v>
      </c>
    </row>
    <row r="14" spans="1:5" ht="30" customHeight="1" x14ac:dyDescent="0.15">
      <c r="A14" s="59"/>
      <c r="B14" s="60" t="s">
        <v>181</v>
      </c>
      <c r="C14" s="63">
        <f>'Budget VS Forecast'!C8</f>
        <v>2054.7717120000002</v>
      </c>
      <c r="D14" s="60" t="s">
        <v>182</v>
      </c>
      <c r="E14" s="62" t="str">
        <f>"OK"</f>
        <v>OK</v>
      </c>
    </row>
    <row r="15" spans="1:5" ht="30" customHeight="1" x14ac:dyDescent="0.15">
      <c r="B15" s="64" t="s">
        <v>183</v>
      </c>
      <c r="C15" s="65" t="s">
        <v>184</v>
      </c>
      <c r="D15" s="64" t="s">
        <v>185</v>
      </c>
      <c r="E15" s="66" t="str">
        <f>"OK"</f>
        <v>OK</v>
      </c>
    </row>
    <row r="16" spans="1:5" ht="15" customHeight="1" x14ac:dyDescent="0.2">
      <c r="B16" s="38" t="s">
        <v>186</v>
      </c>
    </row>
    <row r="17" spans="2:5" ht="15" customHeight="1" x14ac:dyDescent="0.15">
      <c r="B17" s="15" t="s">
        <v>187</v>
      </c>
      <c r="C17" s="67">
        <f>'Monthly Budget'!F9/'Monthly Budget'!F7</f>
        <v>0.38800000000000001</v>
      </c>
      <c r="D17" s="15" t="s">
        <v>188</v>
      </c>
      <c r="E17" s="15" t="str">
        <f>IF(ROUND('Monthly Budget'!F9/'Monthly Budget'!F7-Assumptions!D15,4)=0,"OK","FLAG")</f>
        <v>OK</v>
      </c>
    </row>
    <row r="18" spans="2:5" ht="30" customHeight="1" x14ac:dyDescent="0.15">
      <c r="B18" s="15" t="s">
        <v>189</v>
      </c>
      <c r="C18" s="67">
        <f>'Monthly Budget'!F10/'Monthly Budget'!F7</f>
        <v>0.10199999999999999</v>
      </c>
      <c r="D18" s="15" t="s">
        <v>190</v>
      </c>
      <c r="E18" s="15" t="str">
        <f>IF(ROUND('Monthly Budget'!F10/'Monthly Budget'!F7-Assumptions!D16,4)=0,"OK","FLAG")</f>
        <v>OK</v>
      </c>
    </row>
    <row r="19" spans="2:5" ht="30" customHeight="1" x14ac:dyDescent="0.15">
      <c r="B19" s="15" t="s">
        <v>191</v>
      </c>
      <c r="C19" s="67">
        <f>'Monthly Budget'!F11/'Monthly Budget'!F7</f>
        <v>0.28100000000000003</v>
      </c>
      <c r="D19" s="15" t="s">
        <v>192</v>
      </c>
      <c r="E19" s="15" t="str">
        <f>IF(ROUND('Monthly Budget'!F11/'Monthly Budget'!F7-Assumptions!D17,4)=0,"OK","FLAG")</f>
        <v>OK</v>
      </c>
    </row>
    <row r="20" spans="2:5" ht="30" customHeight="1" x14ac:dyDescent="0.15">
      <c r="B20" s="15" t="s">
        <v>193</v>
      </c>
      <c r="C20" s="51">
        <f>'Monthly Budget'!F8</f>
        <v>1555.9391865600001</v>
      </c>
      <c r="D20" s="15" t="s">
        <v>194</v>
      </c>
      <c r="E20" s="15" t="str">
        <f>IF(ROUND('Monthly Budget'!F8-('Monthly Budget'!F9+'Monthly Budget'!F10+'Monthly Budget'!F11),2)=0,"OK","FLAG")</f>
        <v>OK</v>
      </c>
    </row>
    <row r="21" spans="2:5" ht="30" customHeight="1" x14ac:dyDescent="0.15">
      <c r="B21" s="15" t="s">
        <v>195</v>
      </c>
      <c r="C21" s="51">
        <f>'Monthly Budget'!F12</f>
        <v>462.1401734399999</v>
      </c>
      <c r="D21" s="15" t="s">
        <v>196</v>
      </c>
      <c r="E21" s="15" t="str">
        <f>IF(ROUND('Monthly Budget'!F12-('Monthly Budget'!F7-'Monthly Budget'!F8),2)=0,"OK","FLAG")</f>
        <v>OK</v>
      </c>
    </row>
    <row r="22" spans="2:5" ht="15" customHeight="1" x14ac:dyDescent="0.15">
      <c r="B22" s="15" t="s">
        <v>197</v>
      </c>
      <c r="C22" s="67">
        <f>'Monthly Budget'!F13</f>
        <v>0.22899999999999995</v>
      </c>
      <c r="D22" s="15" t="s">
        <v>198</v>
      </c>
      <c r="E22" s="15" t="str">
        <f>IF(ROUND('Monthly Budget'!F13-('Monthly Budget'!F12/'Monthly Budget'!F7),4)=0,"OK","FLAG")</f>
        <v>OK</v>
      </c>
    </row>
    <row r="23" spans="2:5" ht="15" customHeight="1" x14ac:dyDescent="0.2">
      <c r="B23" s="38" t="s">
        <v>199</v>
      </c>
    </row>
    <row r="24" spans="2:5" ht="15" customHeight="1" x14ac:dyDescent="0.15">
      <c r="B24" s="15" t="s">
        <v>200</v>
      </c>
      <c r="C24" s="67">
        <f>'Rolling Forecast'!D10/'Rolling Forecast'!D8</f>
        <v>0.39500000000000002</v>
      </c>
      <c r="D24" s="15" t="s">
        <v>201</v>
      </c>
      <c r="E24" s="15" t="str">
        <f>IF(ROUND('Rolling Forecast'!D10/'Rolling Forecast'!D8-Assumptions!E15,4)=0,"OK","FLAG")</f>
        <v>OK</v>
      </c>
    </row>
    <row r="25" spans="2:5" ht="15" customHeight="1" x14ac:dyDescent="0.15">
      <c r="B25" s="15" t="s">
        <v>202</v>
      </c>
      <c r="C25" s="67">
        <f>'Rolling Forecast'!D11/'Rolling Forecast'!D8</f>
        <v>0.1</v>
      </c>
      <c r="D25" s="15" t="s">
        <v>203</v>
      </c>
      <c r="E25" s="15" t="str">
        <f>IF(ROUND('Rolling Forecast'!D11/'Rolling Forecast'!D8-Assumptions!E16,4)=0,"OK","FLAG")</f>
        <v>OK</v>
      </c>
    </row>
    <row r="26" spans="2:5" ht="15" customHeight="1" x14ac:dyDescent="0.15">
      <c r="B26" s="15" t="s">
        <v>204</v>
      </c>
      <c r="C26" s="67">
        <f>'Rolling Forecast'!D12/'Rolling Forecast'!D8</f>
        <v>0.28499999999999998</v>
      </c>
      <c r="D26" s="15" t="s">
        <v>205</v>
      </c>
      <c r="E26" s="15" t="str">
        <f>IF(ROUND('Rolling Forecast'!D12/'Rolling Forecast'!D8-Assumptions!E17,4)=0,"OK","FLAG")</f>
        <v>OK</v>
      </c>
    </row>
    <row r="27" spans="2:5" ht="15" customHeight="1" x14ac:dyDescent="0.15">
      <c r="B27" s="15" t="s">
        <v>206</v>
      </c>
      <c r="C27" s="51">
        <f>'Rolling Forecast'!D9</f>
        <v>1602.7219353600003</v>
      </c>
      <c r="D27" s="15" t="s">
        <v>207</v>
      </c>
      <c r="E27" s="15" t="str">
        <f>IF(ROUND('Rolling Forecast'!D9-('Rolling Forecast'!D10+'Rolling Forecast'!D11+'Rolling Forecast'!D12),2)=0,"OK","FLAG")</f>
        <v>OK</v>
      </c>
    </row>
    <row r="28" spans="2:5" ht="15" customHeight="1" x14ac:dyDescent="0.15">
      <c r="B28" s="15" t="s">
        <v>208</v>
      </c>
      <c r="C28" s="51">
        <f>'Rolling Forecast'!D13</f>
        <v>452.04977663999989</v>
      </c>
      <c r="D28" s="15" t="s">
        <v>209</v>
      </c>
      <c r="E28" s="15" t="str">
        <f>IF(ROUND('Rolling Forecast'!D13-('Rolling Forecast'!D8-'Rolling Forecast'!D9),2)=0,"OK","FLAG")</f>
        <v>OK</v>
      </c>
    </row>
    <row r="29" spans="2:5" ht="15" customHeight="1" x14ac:dyDescent="0.15">
      <c r="B29" s="15" t="s">
        <v>210</v>
      </c>
      <c r="C29" s="67">
        <f>'Rolling Forecast'!D14</f>
        <v>0.21999999999999992</v>
      </c>
      <c r="D29" s="15" t="s">
        <v>211</v>
      </c>
      <c r="E29" s="15" t="str">
        <f>IF(ROUND('Rolling Forecast'!D14-('Rolling Forecast'!D13/'Rolling Forecast'!D8),4)=0,"OK","FLAG")</f>
        <v>OK</v>
      </c>
    </row>
    <row r="30" spans="2:5" ht="15" customHeight="1" x14ac:dyDescent="0.2">
      <c r="B30" s="38" t="s">
        <v>212</v>
      </c>
    </row>
    <row r="31" spans="2:5" ht="15" customHeight="1" x14ac:dyDescent="0.15">
      <c r="B31" s="15" t="s">
        <v>213</v>
      </c>
      <c r="C31" s="51">
        <f>'Monthly Budget'!F16</f>
        <v>419.35278527999992</v>
      </c>
      <c r="D31" s="15" t="s">
        <v>214</v>
      </c>
      <c r="E31" s="15" t="str">
        <f>IF(ROUND('Monthly Budget'!F16-('Monthly Budget'!F12-'Monthly Budget'!F15+'Monthly Budget'!F14),2)=0,"OK","FLAG")</f>
        <v>OK</v>
      </c>
    </row>
    <row r="32" spans="2:5" ht="15" customHeight="1" x14ac:dyDescent="0.15">
      <c r="B32" s="15" t="s">
        <v>215</v>
      </c>
      <c r="C32" s="51">
        <f>'Monthly Budget'!F18</f>
        <v>403.88665277999991</v>
      </c>
      <c r="D32" s="15" t="s">
        <v>216</v>
      </c>
      <c r="E32" s="15" t="str">
        <f>IF(ROUND('Monthly Budget'!F18-('Monthly Budget'!F16-'Monthly Budget'!F17),2)=0,"OK","FLAG")</f>
        <v>OK</v>
      </c>
    </row>
    <row r="33" spans="2:5" ht="15" customHeight="1" x14ac:dyDescent="0.15">
      <c r="B33" s="15" t="s">
        <v>217</v>
      </c>
      <c r="C33" s="51">
        <f>'Monthly Budget'!F20</f>
        <v>310.1849493350399</v>
      </c>
      <c r="D33" s="15" t="s">
        <v>218</v>
      </c>
      <c r="E33" s="15" t="str">
        <f>IF(ROUND('Monthly Budget'!F20-('Monthly Budget'!F18-'Monthly Budget'!F19),2)=0,"OK","FLAG")</f>
        <v>OK</v>
      </c>
    </row>
    <row r="34" spans="2:5" ht="15" customHeight="1" x14ac:dyDescent="0.15">
      <c r="B34" s="15" t="s">
        <v>219</v>
      </c>
      <c r="C34" s="51">
        <f>'Rolling Forecast'!D17</f>
        <v>404.0024466239999</v>
      </c>
      <c r="D34" s="15" t="s">
        <v>220</v>
      </c>
      <c r="E34" s="15" t="str">
        <f>IF(ROUND('Rolling Forecast'!D17-('Rolling Forecast'!D13-'Rolling Forecast'!D16+'Rolling Forecast'!D15),2)=0,"OK","FLAG")</f>
        <v>OK</v>
      </c>
    </row>
    <row r="35" spans="2:5" ht="15" customHeight="1" x14ac:dyDescent="0.15">
      <c r="B35" s="15" t="s">
        <v>221</v>
      </c>
      <c r="C35" s="51">
        <f>'Rolling Forecast'!D19</f>
        <v>385.68721262399993</v>
      </c>
      <c r="D35" s="15" t="s">
        <v>222</v>
      </c>
      <c r="E35" s="15" t="str">
        <f>IF(ROUND('Rolling Forecast'!D19-('Rolling Forecast'!D17-'Rolling Forecast'!D18),2)=0,"OK","FLAG")</f>
        <v>OK</v>
      </c>
    </row>
    <row r="36" spans="2:5" ht="15" customHeight="1" x14ac:dyDescent="0.15">
      <c r="B36" s="15" t="s">
        <v>223</v>
      </c>
      <c r="C36" s="51">
        <f>'Rolling Forecast'!D21</f>
        <v>295.05071765735994</v>
      </c>
      <c r="D36" s="15" t="s">
        <v>224</v>
      </c>
      <c r="E36" s="15" t="str">
        <f>IF(ROUND('Rolling Forecast'!D21-('Rolling Forecast'!D19-'Rolling Forecast'!D20),2)=0,"OK","FLAG")</f>
        <v>OK</v>
      </c>
    </row>
    <row r="42" spans="2:5" ht="15" customHeight="1" x14ac:dyDescent="0.2">
      <c r="B42" s="38" t="s">
        <v>225</v>
      </c>
    </row>
    <row r="43" spans="2:5" ht="21.75" customHeight="1" x14ac:dyDescent="0.15">
      <c r="B43" s="121" t="s">
        <v>226</v>
      </c>
      <c r="C43" s="121"/>
      <c r="D43" s="121"/>
      <c r="E43" s="121"/>
    </row>
    <row r="44" spans="2:5" ht="15" customHeight="1" x14ac:dyDescent="0.15">
      <c r="B44" s="121" t="s">
        <v>227</v>
      </c>
      <c r="C44" s="121"/>
      <c r="D44" s="121"/>
      <c r="E44" s="121"/>
    </row>
    <row r="45" spans="2:5" ht="15" customHeight="1" x14ac:dyDescent="0.15">
      <c r="B45" s="121" t="s">
        <v>228</v>
      </c>
      <c r="C45" s="121"/>
      <c r="D45" s="121"/>
      <c r="E45" s="121"/>
    </row>
    <row r="46" spans="2:5" ht="15" customHeight="1" x14ac:dyDescent="0.15">
      <c r="B46" s="121" t="s">
        <v>229</v>
      </c>
      <c r="C46" s="121"/>
      <c r="D46" s="121"/>
      <c r="E46" s="121"/>
    </row>
  </sheetData>
  <mergeCells count="6">
    <mergeCell ref="B46:E46"/>
    <mergeCell ref="B2:E2"/>
    <mergeCell ref="B3:E3"/>
    <mergeCell ref="B43:E43"/>
    <mergeCell ref="B44:E44"/>
    <mergeCell ref="B45:E45"/>
  </mergeCells>
  <pageMargins left="0.75" right="0.75" top="1" bottom="1" header="0.511811023622047" footer="0.511811023622047"/>
  <pageSetup paperSize="9" fitToHeight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P100"/>
  <sheetViews>
    <sheetView showGridLines="0" zoomScaleNormal="100" workbookViewId="0"/>
  </sheetViews>
  <sheetFormatPr defaultColWidth="14.46484375" defaultRowHeight="13.5" x14ac:dyDescent="0.15"/>
  <cols>
    <col min="1" max="1" width="1.9609375" style="15" customWidth="1"/>
    <col min="2" max="2" width="76.375" style="15" customWidth="1"/>
    <col min="3" max="3" width="20.47265625" style="15" customWidth="1"/>
    <col min="4" max="4" width="10.41796875" style="15" customWidth="1"/>
    <col min="5" max="5" width="17.65234375" style="15" customWidth="1"/>
    <col min="6" max="6" width="20.83984375" style="15" customWidth="1"/>
    <col min="7" max="8" width="8.703125" style="15" customWidth="1"/>
    <col min="9" max="9" width="39.96484375" style="15" customWidth="1"/>
    <col min="10" max="16" width="38.00390625" style="15" customWidth="1"/>
  </cols>
  <sheetData>
    <row r="2" spans="2:10" ht="15" customHeight="1" x14ac:dyDescent="0.2">
      <c r="B2" s="40" t="s">
        <v>230</v>
      </c>
      <c r="C2" s="40"/>
      <c r="D2" s="40"/>
      <c r="E2" s="40"/>
      <c r="F2" s="40"/>
    </row>
    <row r="3" spans="2:10" ht="25.5" customHeight="1" x14ac:dyDescent="0.2">
      <c r="B3" s="38" t="s">
        <v>9</v>
      </c>
      <c r="E3" s="68" t="s">
        <v>231</v>
      </c>
      <c r="F3" s="68" t="s">
        <v>13</v>
      </c>
      <c r="H3" s="69" t="s">
        <v>232</v>
      </c>
      <c r="I3" s="69" t="s">
        <v>233</v>
      </c>
      <c r="J3" s="69" t="s">
        <v>234</v>
      </c>
    </row>
    <row r="4" spans="2:10" ht="42" customHeight="1" x14ac:dyDescent="0.2">
      <c r="B4" s="25" t="s">
        <v>235</v>
      </c>
      <c r="E4" s="70">
        <v>0.31</v>
      </c>
      <c r="F4" s="71" t="s">
        <v>236</v>
      </c>
      <c r="H4" s="64" t="s">
        <v>237</v>
      </c>
      <c r="I4" s="64" t="s">
        <v>238</v>
      </c>
      <c r="J4" s="64" t="s">
        <v>239</v>
      </c>
    </row>
    <row r="5" spans="2:10" ht="42" customHeight="1" x14ac:dyDescent="0.2">
      <c r="B5" s="25" t="s">
        <v>240</v>
      </c>
      <c r="E5" s="70">
        <v>0.33</v>
      </c>
      <c r="F5" s="71" t="s">
        <v>236</v>
      </c>
      <c r="H5" s="64" t="s">
        <v>241</v>
      </c>
      <c r="I5" s="64" t="s">
        <v>238</v>
      </c>
      <c r="J5" s="64" t="s">
        <v>242</v>
      </c>
    </row>
    <row r="6" spans="2:10" ht="42" customHeight="1" x14ac:dyDescent="0.2">
      <c r="B6" s="25" t="s">
        <v>243</v>
      </c>
      <c r="E6" s="70">
        <v>0.36</v>
      </c>
      <c r="F6" s="71" t="s">
        <v>236</v>
      </c>
      <c r="H6" s="64" t="s">
        <v>244</v>
      </c>
      <c r="I6" s="64" t="s">
        <v>238</v>
      </c>
      <c r="J6" s="64" t="s">
        <v>245</v>
      </c>
    </row>
    <row r="7" spans="2:10" ht="42" customHeight="1" x14ac:dyDescent="0.2">
      <c r="B7" s="38" t="s">
        <v>246</v>
      </c>
      <c r="E7" s="72">
        <f>E4+E5+E6</f>
        <v>1</v>
      </c>
      <c r="F7" s="73">
        <v>1</v>
      </c>
      <c r="H7" s="64" t="s">
        <v>247</v>
      </c>
      <c r="I7" s="64" t="s">
        <v>248</v>
      </c>
      <c r="J7" s="64" t="s">
        <v>249</v>
      </c>
    </row>
    <row r="9" spans="2:10" ht="15" customHeight="1" x14ac:dyDescent="0.2">
      <c r="B9" s="40" t="s">
        <v>250</v>
      </c>
      <c r="C9" s="40"/>
      <c r="D9" s="40"/>
      <c r="E9" s="40"/>
      <c r="F9" s="40"/>
    </row>
    <row r="10" spans="2:10" ht="25.5" customHeight="1" x14ac:dyDescent="0.2">
      <c r="B10" s="38" t="s">
        <v>9</v>
      </c>
      <c r="C10" s="68" t="s">
        <v>251</v>
      </c>
      <c r="D10" s="68" t="s">
        <v>11</v>
      </c>
      <c r="E10" s="68" t="s">
        <v>12</v>
      </c>
      <c r="F10" s="68" t="s">
        <v>13</v>
      </c>
      <c r="H10" s="69" t="s">
        <v>232</v>
      </c>
      <c r="I10" s="69" t="s">
        <v>233</v>
      </c>
      <c r="J10" s="69" t="s">
        <v>234</v>
      </c>
    </row>
    <row r="11" spans="2:10" ht="42" customHeight="1" x14ac:dyDescent="0.2">
      <c r="B11" s="25" t="s">
        <v>15</v>
      </c>
      <c r="C11" s="74">
        <f>'Data Sheet'!K17/'Data Sheet'!J17-1</f>
        <v>0.14617880995329058</v>
      </c>
      <c r="D11" s="75">
        <v>0.1</v>
      </c>
      <c r="E11" s="75">
        <v>0.12</v>
      </c>
      <c r="F11" s="71" t="s">
        <v>16</v>
      </c>
      <c r="H11" s="64" t="s">
        <v>252</v>
      </c>
      <c r="I11" s="64" t="s">
        <v>253</v>
      </c>
      <c r="J11" s="64" t="s">
        <v>254</v>
      </c>
    </row>
    <row r="12" spans="2:10" ht="15" customHeight="1" x14ac:dyDescent="0.2">
      <c r="C12" s="71"/>
    </row>
    <row r="13" spans="2:10" ht="15" customHeight="1" x14ac:dyDescent="0.2">
      <c r="B13" s="40" t="s">
        <v>255</v>
      </c>
      <c r="C13" s="76"/>
      <c r="D13" s="40"/>
      <c r="E13" s="40"/>
      <c r="F13" s="40"/>
    </row>
    <row r="14" spans="2:10" ht="25.5" customHeight="1" x14ac:dyDescent="0.2">
      <c r="B14" s="38" t="s">
        <v>9</v>
      </c>
      <c r="C14" s="68" t="s">
        <v>251</v>
      </c>
      <c r="D14" s="68" t="s">
        <v>11</v>
      </c>
      <c r="E14" s="68" t="s">
        <v>256</v>
      </c>
      <c r="F14" s="68" t="s">
        <v>13</v>
      </c>
      <c r="H14" s="69" t="s">
        <v>232</v>
      </c>
      <c r="I14" s="69" t="s">
        <v>233</v>
      </c>
      <c r="J14" s="69" t="s">
        <v>234</v>
      </c>
    </row>
    <row r="15" spans="2:10" ht="42" customHeight="1" x14ac:dyDescent="0.2">
      <c r="B15" s="25" t="s">
        <v>18</v>
      </c>
      <c r="C15" s="74">
        <f>'Data Sheet'!K18/'Data Sheet'!K17</f>
        <v>0.39361336408316272</v>
      </c>
      <c r="D15" s="75">
        <v>0.38800000000000001</v>
      </c>
      <c r="E15" s="75">
        <v>0.39500000000000002</v>
      </c>
      <c r="F15" s="71" t="s">
        <v>19</v>
      </c>
      <c r="H15" s="64" t="s">
        <v>257</v>
      </c>
      <c r="I15" s="64" t="s">
        <v>258</v>
      </c>
      <c r="J15" s="64" t="s">
        <v>259</v>
      </c>
    </row>
    <row r="16" spans="2:10" ht="42" customHeight="1" x14ac:dyDescent="0.2">
      <c r="B16" s="25" t="s">
        <v>21</v>
      </c>
      <c r="C16" s="74">
        <f>'Data Sheet'!K22/'Data Sheet'!K17</f>
        <v>9.8399885983778607E-2</v>
      </c>
      <c r="D16" s="75">
        <v>0.10199999999999999</v>
      </c>
      <c r="E16" s="75">
        <v>0.1</v>
      </c>
      <c r="F16" s="71" t="s">
        <v>19</v>
      </c>
      <c r="H16" s="64" t="s">
        <v>260</v>
      </c>
      <c r="I16" s="64" t="s">
        <v>261</v>
      </c>
      <c r="J16" s="64" t="s">
        <v>259</v>
      </c>
    </row>
    <row r="17" spans="2:16" ht="42" customHeight="1" x14ac:dyDescent="0.2">
      <c r="B17" s="25" t="s">
        <v>22</v>
      </c>
      <c r="C17" s="74">
        <f>('Data Sheet'!K20+'Data Sheet'!K21+'Data Sheet'!K23+'Data Sheet'!K24-'Data Sheet'!K19)/'Data Sheet'!K17</f>
        <v>0.27878995966244291</v>
      </c>
      <c r="D17" s="75">
        <v>0.28100000000000003</v>
      </c>
      <c r="E17" s="75">
        <v>0.28499999999999998</v>
      </c>
      <c r="F17" s="71" t="s">
        <v>19</v>
      </c>
      <c r="H17" s="64" t="s">
        <v>262</v>
      </c>
      <c r="I17" s="64" t="s">
        <v>263</v>
      </c>
      <c r="J17" s="64" t="s">
        <v>259</v>
      </c>
    </row>
    <row r="18" spans="2:16" ht="42" customHeight="1" x14ac:dyDescent="0.2">
      <c r="B18" s="38" t="s">
        <v>264</v>
      </c>
      <c r="C18" s="73">
        <f>100%-(SUM(C15:C17))</f>
        <v>0.22919679027061579</v>
      </c>
      <c r="D18" s="77">
        <f>1-(D15+D16+D17)</f>
        <v>0.22899999999999998</v>
      </c>
      <c r="E18" s="77">
        <f>1-(E15+E16+E17)</f>
        <v>0.21999999999999997</v>
      </c>
      <c r="F18" s="71"/>
      <c r="H18" s="64" t="s">
        <v>265</v>
      </c>
      <c r="I18" s="64" t="s">
        <v>266</v>
      </c>
      <c r="J18" s="64" t="s">
        <v>267</v>
      </c>
    </row>
    <row r="19" spans="2:16" ht="15" customHeight="1" x14ac:dyDescent="0.2">
      <c r="C19" s="71"/>
      <c r="E19" s="71"/>
      <c r="F19" s="71"/>
    </row>
    <row r="20" spans="2:16" ht="15" customHeight="1" x14ac:dyDescent="0.2">
      <c r="B20" s="40" t="s">
        <v>268</v>
      </c>
      <c r="C20" s="76"/>
      <c r="D20" s="78"/>
      <c r="E20" s="76"/>
      <c r="F20" s="76"/>
      <c r="I20" s="47"/>
      <c r="N20" s="24"/>
      <c r="O20" s="24"/>
      <c r="P20" s="24"/>
    </row>
    <row r="21" spans="2:16" ht="25.5" customHeight="1" x14ac:dyDescent="0.2">
      <c r="B21" s="38" t="s">
        <v>9</v>
      </c>
      <c r="C21" s="68" t="s">
        <v>251</v>
      </c>
      <c r="D21" s="68" t="s">
        <v>11</v>
      </c>
      <c r="E21" s="68" t="s">
        <v>256</v>
      </c>
      <c r="F21" s="68" t="s">
        <v>13</v>
      </c>
      <c r="H21" s="69" t="s">
        <v>232</v>
      </c>
      <c r="I21" s="79" t="s">
        <v>233</v>
      </c>
      <c r="J21" s="69" t="s">
        <v>234</v>
      </c>
    </row>
    <row r="22" spans="2:16" ht="42" customHeight="1" x14ac:dyDescent="0.2">
      <c r="B22" s="80" t="s">
        <v>269</v>
      </c>
      <c r="C22" s="74">
        <f>'Data Sheet'!K26/('Data Sheet'!K62+'Data Sheet'!K63)</f>
        <v>0.10286727278076913</v>
      </c>
      <c r="D22" s="75">
        <v>0.104</v>
      </c>
      <c r="E22" s="75">
        <v>0.105</v>
      </c>
      <c r="F22" s="71" t="s">
        <v>270</v>
      </c>
      <c r="H22" s="64" t="s">
        <v>271</v>
      </c>
      <c r="I22" s="81" t="s">
        <v>272</v>
      </c>
      <c r="J22" s="64" t="s">
        <v>273</v>
      </c>
      <c r="N22" s="24"/>
      <c r="O22" s="24"/>
      <c r="P22" s="24"/>
    </row>
    <row r="23" spans="2:16" ht="42" customHeight="1" x14ac:dyDescent="0.2">
      <c r="B23" s="80" t="s">
        <v>274</v>
      </c>
      <c r="C23" s="74">
        <f>'Data Sheet'!K27/'Data Sheet'!K59</f>
        <v>0.35642561239193082</v>
      </c>
      <c r="D23" s="75">
        <v>7.4999999999999997E-2</v>
      </c>
      <c r="E23" s="75">
        <v>8.5000000000000006E-2</v>
      </c>
      <c r="F23" s="71" t="s">
        <v>275</v>
      </c>
      <c r="H23" s="64" t="s">
        <v>276</v>
      </c>
      <c r="I23" s="81" t="s">
        <v>277</v>
      </c>
      <c r="J23" s="64" t="s">
        <v>278</v>
      </c>
    </row>
    <row r="24" spans="2:16" ht="42" customHeight="1" x14ac:dyDescent="0.2">
      <c r="B24" s="25" t="s">
        <v>279</v>
      </c>
      <c r="C24" s="74">
        <f>'Data Sheet'!K25/'Data Sheet'!K17</f>
        <v>6.9200072555777254E-3</v>
      </c>
      <c r="D24" s="75">
        <v>6.4999999999999997E-3</v>
      </c>
      <c r="E24" s="75">
        <v>7.0000000000000001E-3</v>
      </c>
      <c r="F24" s="71" t="s">
        <v>19</v>
      </c>
      <c r="H24" s="64" t="s">
        <v>280</v>
      </c>
      <c r="I24" s="81" t="s">
        <v>281</v>
      </c>
      <c r="J24" s="64" t="s">
        <v>282</v>
      </c>
      <c r="N24" s="24"/>
      <c r="O24" s="24"/>
      <c r="P24" s="24"/>
    </row>
    <row r="25" spans="2:16" ht="42" customHeight="1" x14ac:dyDescent="0.2">
      <c r="B25" s="25" t="s">
        <v>27</v>
      </c>
      <c r="C25" s="74">
        <f>'Data Sheet'!K29/'Data Sheet'!K28</f>
        <v>0.23104791036195807</v>
      </c>
      <c r="D25" s="75">
        <v>0.23200000000000001</v>
      </c>
      <c r="E25" s="75">
        <v>0.23499999999999999</v>
      </c>
      <c r="F25" s="71" t="s">
        <v>28</v>
      </c>
      <c r="H25" s="64" t="s">
        <v>283</v>
      </c>
      <c r="I25" s="81" t="s">
        <v>284</v>
      </c>
      <c r="J25" s="64" t="s">
        <v>285</v>
      </c>
    </row>
    <row r="26" spans="2:16" ht="15.75" customHeight="1" x14ac:dyDescent="0.2">
      <c r="I26" s="47"/>
      <c r="N26" s="24"/>
      <c r="O26" s="24"/>
      <c r="P26" s="24"/>
    </row>
    <row r="27" spans="2:16" ht="15.75" customHeight="1" x14ac:dyDescent="0.2">
      <c r="B27" s="40" t="s">
        <v>286</v>
      </c>
      <c r="C27" s="40"/>
      <c r="D27" s="40"/>
      <c r="E27" s="40"/>
      <c r="F27" s="40"/>
    </row>
    <row r="28" spans="2:16" ht="25.5" customHeight="1" x14ac:dyDescent="0.2">
      <c r="B28" s="38" t="s">
        <v>9</v>
      </c>
      <c r="E28" s="68" t="s">
        <v>231</v>
      </c>
      <c r="F28" s="68" t="s">
        <v>13</v>
      </c>
      <c r="H28" s="69" t="s">
        <v>232</v>
      </c>
      <c r="I28" s="69" t="s">
        <v>233</v>
      </c>
      <c r="J28" s="69" t="s">
        <v>234</v>
      </c>
    </row>
    <row r="29" spans="2:16" ht="42" customHeight="1" x14ac:dyDescent="0.2">
      <c r="B29" s="25" t="s">
        <v>287</v>
      </c>
      <c r="E29" s="75">
        <v>0.495</v>
      </c>
      <c r="F29" s="71" t="s">
        <v>288</v>
      </c>
      <c r="H29" s="64" t="s">
        <v>289</v>
      </c>
      <c r="I29" s="64" t="s">
        <v>290</v>
      </c>
      <c r="J29" s="64" t="s">
        <v>291</v>
      </c>
    </row>
    <row r="30" spans="2:16" ht="42" customHeight="1" x14ac:dyDescent="0.2">
      <c r="B30" s="25" t="s">
        <v>292</v>
      </c>
      <c r="E30" s="75">
        <v>0.13200000000000001</v>
      </c>
      <c r="F30" s="71" t="s">
        <v>288</v>
      </c>
      <c r="H30" s="64" t="s">
        <v>293</v>
      </c>
      <c r="I30" s="64" t="s">
        <v>290</v>
      </c>
      <c r="J30" s="64" t="s">
        <v>294</v>
      </c>
    </row>
    <row r="31" spans="2:16" ht="42" customHeight="1" x14ac:dyDescent="0.2">
      <c r="B31" s="25" t="s">
        <v>295</v>
      </c>
      <c r="E31" s="75">
        <v>0.373</v>
      </c>
      <c r="F31" s="71" t="s">
        <v>288</v>
      </c>
      <c r="H31" s="64" t="s">
        <v>296</v>
      </c>
      <c r="I31" s="64" t="s">
        <v>290</v>
      </c>
      <c r="J31" s="64" t="s">
        <v>297</v>
      </c>
    </row>
    <row r="32" spans="2:16" ht="15.75" customHeight="1" x14ac:dyDescent="0.2">
      <c r="E32" s="56">
        <f>E29+E30+E31</f>
        <v>1</v>
      </c>
    </row>
    <row r="33" spans="2:10" ht="15.75" customHeight="1" x14ac:dyDescent="0.2">
      <c r="B33" s="40" t="s">
        <v>298</v>
      </c>
      <c r="C33" s="40"/>
      <c r="D33" s="40"/>
      <c r="E33" s="40"/>
      <c r="F33" s="40"/>
    </row>
    <row r="34" spans="2:10" ht="15" customHeight="1" x14ac:dyDescent="0.15">
      <c r="B34" s="121" t="s">
        <v>299</v>
      </c>
      <c r="C34" s="121"/>
      <c r="D34" s="121"/>
      <c r="E34" s="121"/>
      <c r="F34" s="121"/>
      <c r="G34" s="121"/>
      <c r="H34" s="121"/>
      <c r="I34" s="121"/>
      <c r="J34" s="121"/>
    </row>
    <row r="35" spans="2:10" ht="21.75" customHeight="1" x14ac:dyDescent="0.15">
      <c r="B35" s="121" t="s">
        <v>300</v>
      </c>
      <c r="C35" s="121"/>
      <c r="D35" s="121"/>
      <c r="E35" s="121"/>
      <c r="F35" s="121"/>
      <c r="G35" s="121"/>
      <c r="H35" s="121"/>
      <c r="I35" s="121"/>
      <c r="J35" s="121"/>
    </row>
    <row r="36" spans="2:10" ht="15" customHeight="1" x14ac:dyDescent="0.15">
      <c r="B36" s="121" t="s">
        <v>301</v>
      </c>
      <c r="C36" s="121"/>
      <c r="D36" s="121"/>
      <c r="E36" s="121"/>
      <c r="F36" s="121"/>
      <c r="G36" s="121"/>
      <c r="H36" s="121"/>
      <c r="I36" s="121"/>
      <c r="J36" s="121"/>
    </row>
    <row r="37" spans="2:10" ht="15" customHeight="1" x14ac:dyDescent="0.15">
      <c r="B37" s="121" t="s">
        <v>302</v>
      </c>
      <c r="C37" s="121"/>
      <c r="D37" s="121"/>
      <c r="E37" s="121"/>
      <c r="F37" s="121"/>
      <c r="G37" s="121"/>
      <c r="H37" s="121"/>
      <c r="I37" s="121"/>
      <c r="J37" s="121"/>
    </row>
    <row r="38" spans="2:10" ht="15" customHeight="1" x14ac:dyDescent="0.15">
      <c r="B38" s="121" t="s">
        <v>303</v>
      </c>
      <c r="C38" s="121"/>
      <c r="D38" s="121"/>
      <c r="E38" s="121"/>
      <c r="F38" s="121"/>
      <c r="G38" s="121"/>
      <c r="H38" s="121"/>
      <c r="I38" s="121"/>
      <c r="J38" s="121"/>
    </row>
    <row r="39" spans="2:10" ht="15.75" customHeight="1" x14ac:dyDescent="0.15">
      <c r="B39" s="121" t="s">
        <v>304</v>
      </c>
      <c r="C39" s="121"/>
      <c r="D39" s="121"/>
      <c r="E39" s="121"/>
      <c r="F39" s="121"/>
      <c r="G39" s="121"/>
      <c r="H39" s="121"/>
      <c r="I39" s="121"/>
      <c r="J39" s="121"/>
    </row>
    <row r="40" spans="2:10" ht="15.75" customHeight="1" x14ac:dyDescent="0.15">
      <c r="B40" s="121" t="s">
        <v>305</v>
      </c>
      <c r="C40" s="121"/>
      <c r="D40" s="121"/>
      <c r="E40" s="121"/>
      <c r="F40" s="121"/>
      <c r="G40" s="121"/>
      <c r="H40" s="121"/>
      <c r="I40" s="121"/>
      <c r="J40" s="121"/>
    </row>
    <row r="41" spans="2:10" ht="15.75" customHeight="1" x14ac:dyDescent="0.15">
      <c r="B41" s="121" t="s">
        <v>306</v>
      </c>
      <c r="C41" s="121"/>
      <c r="D41" s="121"/>
      <c r="E41" s="121"/>
      <c r="F41" s="121"/>
      <c r="G41" s="121"/>
      <c r="H41" s="121"/>
      <c r="I41" s="121"/>
      <c r="J41" s="121"/>
    </row>
    <row r="42" spans="2:10" ht="15.75" customHeight="1" x14ac:dyDescent="0.15"/>
    <row r="43" spans="2:10" ht="15.75" customHeight="1" x14ac:dyDescent="0.15"/>
    <row r="44" spans="2:10" ht="15.75" customHeight="1" x14ac:dyDescent="0.15"/>
    <row r="45" spans="2:10" ht="15.75" customHeight="1" x14ac:dyDescent="0.15"/>
    <row r="46" spans="2:10" ht="15.75" customHeight="1" x14ac:dyDescent="0.15"/>
    <row r="47" spans="2:10" ht="15.75" customHeight="1" x14ac:dyDescent="0.15"/>
    <row r="48" spans="2:10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</sheetData>
  <mergeCells count="8">
    <mergeCell ref="B39:J39"/>
    <mergeCell ref="B40:J40"/>
    <mergeCell ref="B41:J41"/>
    <mergeCell ref="B34:J34"/>
    <mergeCell ref="B35:J35"/>
    <mergeCell ref="B36:J36"/>
    <mergeCell ref="B37:J37"/>
    <mergeCell ref="B38:J38"/>
  </mergeCells>
  <pageMargins left="0.7" right="0.7" top="0.75" bottom="0.75" header="0.511811023622047" footer="0.511811023622047"/>
  <pageSetup paperSize="9"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2060"/>
  </sheetPr>
  <dimension ref="A21:K100"/>
  <sheetViews>
    <sheetView zoomScaleNormal="100" workbookViewId="0"/>
  </sheetViews>
  <sheetFormatPr defaultColWidth="14.46484375" defaultRowHeight="13.5" x14ac:dyDescent="0.15"/>
  <cols>
    <col min="1" max="11" width="8.703125" style="15" customWidth="1"/>
  </cols>
  <sheetData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L100"/>
  <sheetViews>
    <sheetView showGridLines="0" zoomScaleNormal="100" workbookViewId="0"/>
  </sheetViews>
  <sheetFormatPr defaultColWidth="14.46484375" defaultRowHeight="13.5" x14ac:dyDescent="0.15"/>
  <cols>
    <col min="1" max="1" width="1.9609375" style="15" customWidth="1"/>
    <col min="2" max="2" width="24.1484375" style="15" customWidth="1"/>
    <col min="3" max="12" width="8.703125" style="15" customWidth="1"/>
  </cols>
  <sheetData>
    <row r="2" spans="2:12" ht="15" customHeight="1" x14ac:dyDescent="0.2">
      <c r="B2" s="123" t="str">
        <f>"Common Size Income Statement"&amp; "-" &amp;'Data Sheet'!B1</f>
        <v>Common Size Income Statement-NESTLE INDIA LTD</v>
      </c>
      <c r="C2" s="123"/>
      <c r="D2" s="123"/>
      <c r="E2" s="123"/>
      <c r="F2" s="123"/>
      <c r="G2" s="123"/>
      <c r="H2" s="123"/>
      <c r="I2" s="123"/>
      <c r="J2" s="123"/>
      <c r="K2" s="123"/>
      <c r="L2" s="123"/>
    </row>
    <row r="4" spans="2:12" ht="15" customHeight="1" x14ac:dyDescent="0.2">
      <c r="B4" s="40" t="s">
        <v>307</v>
      </c>
      <c r="C4" s="82">
        <f>'Data Sheet'!B16</f>
        <v>43100</v>
      </c>
      <c r="D4" s="82">
        <f>'Data Sheet'!C16</f>
        <v>43465</v>
      </c>
      <c r="E4" s="82">
        <f>'Data Sheet'!D16</f>
        <v>43830</v>
      </c>
      <c r="F4" s="82">
        <f>'Data Sheet'!E16</f>
        <v>44196</v>
      </c>
      <c r="G4" s="82">
        <f>'Data Sheet'!F16</f>
        <v>44561</v>
      </c>
      <c r="H4" s="82">
        <f>'Data Sheet'!G16</f>
        <v>44926</v>
      </c>
      <c r="I4" s="82">
        <f>'Data Sheet'!H16</f>
        <v>45291</v>
      </c>
      <c r="J4" s="82">
        <f>'Data Sheet'!I16</f>
        <v>45382</v>
      </c>
      <c r="K4" s="82">
        <f>'Data Sheet'!J16</f>
        <v>45747</v>
      </c>
      <c r="L4" s="82">
        <f>'Data Sheet'!K16</f>
        <v>46112</v>
      </c>
    </row>
    <row r="5" spans="2:12" ht="30" customHeight="1" x14ac:dyDescent="0.15">
      <c r="B5" s="124" t="s">
        <v>308</v>
      </c>
      <c r="C5" s="124"/>
      <c r="D5" s="124"/>
      <c r="E5" s="124"/>
      <c r="F5" s="124"/>
      <c r="G5" s="124"/>
      <c r="H5" s="124"/>
      <c r="I5" s="124"/>
      <c r="J5" s="124"/>
      <c r="K5" s="124"/>
      <c r="L5" s="124"/>
    </row>
    <row r="6" spans="2:12" ht="15" customHeight="1" x14ac:dyDescent="0.2">
      <c r="B6" s="83" t="s">
        <v>309</v>
      </c>
      <c r="C6" s="84">
        <f>IFERROR('Data Sheet'!B17/'Data Sheet'!B$17,0)</f>
        <v>1</v>
      </c>
      <c r="D6" s="84">
        <f>IFERROR('Data Sheet'!C17/'Data Sheet'!C$17,0)</f>
        <v>1</v>
      </c>
      <c r="E6" s="84">
        <f>IFERROR('Data Sheet'!D17/'Data Sheet'!D$17,0)</f>
        <v>1</v>
      </c>
      <c r="F6" s="84">
        <f>IFERROR('Data Sheet'!E17/'Data Sheet'!E$17,0)</f>
        <v>1</v>
      </c>
      <c r="G6" s="84">
        <f>IFERROR('Data Sheet'!F17/'Data Sheet'!F$17,0)</f>
        <v>1</v>
      </c>
      <c r="H6" s="84">
        <f>IFERROR('Data Sheet'!G17/'Data Sheet'!G$17,0)</f>
        <v>1</v>
      </c>
      <c r="I6" s="84">
        <f>IFERROR('Data Sheet'!H17/'Data Sheet'!H$17,0)</f>
        <v>1</v>
      </c>
      <c r="J6" s="84">
        <f>IFERROR('Data Sheet'!I17/'Data Sheet'!I$17,0)</f>
        <v>1</v>
      </c>
      <c r="K6" s="84">
        <f>IFERROR('Data Sheet'!J17/'Data Sheet'!J$17,0)</f>
        <v>1</v>
      </c>
      <c r="L6" s="84">
        <f>IFERROR('Data Sheet'!K17/'Data Sheet'!K$17,0)</f>
        <v>1</v>
      </c>
    </row>
    <row r="7" spans="2:12" ht="15" customHeight="1" x14ac:dyDescent="0.2">
      <c r="B7" s="83" t="s">
        <v>310</v>
      </c>
      <c r="C7" s="84">
        <f>IFERROR('Data Sheet'!B18/'Data Sheet'!B$17,0)</f>
        <v>0.36934442934782608</v>
      </c>
      <c r="D7" s="84">
        <f>IFERROR('Data Sheet'!C18/'Data Sheet'!C$17,0)</f>
        <v>0.33910099563683826</v>
      </c>
      <c r="E7" s="84">
        <f>IFERROR('Data Sheet'!D18/'Data Sheet'!D$17,0)</f>
        <v>0.36550622933324711</v>
      </c>
      <c r="F7" s="84">
        <f>IFERROR('Data Sheet'!E18/'Data Sheet'!E$17,0)</f>
        <v>0.36717071047780414</v>
      </c>
      <c r="G7" s="84">
        <f>IFERROR('Data Sheet'!F18/'Data Sheet'!F$17,0)</f>
        <v>0.3596368937742655</v>
      </c>
      <c r="H7" s="84">
        <f>IFERROR('Data Sheet'!G18/'Data Sheet'!G$17,0)</f>
        <v>0.39417859780694281</v>
      </c>
      <c r="I7" s="84">
        <f>IFERROR('Data Sheet'!H18/'Data Sheet'!H$17,0)</f>
        <v>0.44298792761799194</v>
      </c>
      <c r="J7" s="84">
        <f>IFERROR('Data Sheet'!I18/'Data Sheet'!I$17,0)</f>
        <v>0.37718912399785359</v>
      </c>
      <c r="K7" s="84">
        <f>IFERROR('Data Sheet'!J18/'Data Sheet'!J$17,0)</f>
        <v>0.37851680761287743</v>
      </c>
      <c r="L7" s="84">
        <f>IFERROR('Data Sheet'!K18/'Data Sheet'!K$17,0)</f>
        <v>0.39361336408316272</v>
      </c>
    </row>
    <row r="8" spans="2:12" ht="15" customHeight="1" x14ac:dyDescent="0.2">
      <c r="B8" s="83" t="s">
        <v>311</v>
      </c>
      <c r="C8" s="84">
        <f>IFERROR('Data Sheet'!B19/'Data Sheet'!B$17,0)</f>
        <v>7.9483695652173905E-3</v>
      </c>
      <c r="D8" s="84">
        <f>IFERROR('Data Sheet'!C19/'Data Sheet'!C$17,0)</f>
        <v>5.3222248493881204E-4</v>
      </c>
      <c r="E8" s="84">
        <f>IFERROR('Data Sheet'!D19/'Data Sheet'!D$17,0)</f>
        <v>1.1657463476946212E-2</v>
      </c>
      <c r="F8" s="84">
        <f>IFERROR('Data Sheet'!E19/'Data Sheet'!E$17,0)</f>
        <v>5.1932467567488609E-3</v>
      </c>
      <c r="G8" s="84">
        <f>IFERROR('Data Sheet'!F19/'Data Sheet'!F$17,0)</f>
        <v>4.5852981461393339E-3</v>
      </c>
      <c r="H8" s="84">
        <f>IFERROR('Data Sheet'!G19/'Data Sheet'!G$17,0)</f>
        <v>1.4811540064011516E-2</v>
      </c>
      <c r="I8" s="84">
        <f>IFERROR('Data Sheet'!H19/'Data Sheet'!H$17,0)</f>
        <v>2.0918839503720008E-3</v>
      </c>
      <c r="J8" s="84">
        <f>IFERROR('Data Sheet'!I19/'Data Sheet'!I$17,0)</f>
        <v>1.8726000650162806E-3</v>
      </c>
      <c r="K8" s="84">
        <f>IFERROR('Data Sheet'!J19/'Data Sheet'!J$17,0)</f>
        <v>6.9133274856001212E-3</v>
      </c>
      <c r="L8" s="84">
        <f>IFERROR('Data Sheet'!K19/'Data Sheet'!K$17,0)</f>
        <v>7.2655109567861245E-3</v>
      </c>
    </row>
    <row r="9" spans="2:12" ht="15" customHeight="1" x14ac:dyDescent="0.2">
      <c r="B9" s="83" t="s">
        <v>312</v>
      </c>
      <c r="C9" s="84">
        <f>IFERROR('Data Sheet'!B20/'Data Sheet'!B$17,0)</f>
        <v>2.8816336317135548E-2</v>
      </c>
      <c r="D9" s="84">
        <f>IFERROR('Data Sheet'!C20/'Data Sheet'!C$17,0)</f>
        <v>3.047925704929124E-2</v>
      </c>
      <c r="E9" s="84">
        <f>IFERROR('Data Sheet'!D20/'Data Sheet'!D$17,0)</f>
        <v>2.7531146666235476E-2</v>
      </c>
      <c r="F9" s="84">
        <f>IFERROR('Data Sheet'!E20/'Data Sheet'!E$17,0)</f>
        <v>2.3496576412187838E-2</v>
      </c>
      <c r="G9" s="84">
        <f>IFERROR('Data Sheet'!F20/'Data Sheet'!F$17,0)</f>
        <v>2.7682745398929079E-2</v>
      </c>
      <c r="H9" s="84">
        <f>IFERROR('Data Sheet'!G20/'Data Sheet'!G$17,0)</f>
        <v>3.3888344412249305E-2</v>
      </c>
      <c r="I9" s="84">
        <f>IFERROR('Data Sheet'!H20/'Data Sheet'!H$17,0)</f>
        <v>0</v>
      </c>
      <c r="J9" s="84">
        <f>IFERROR('Data Sheet'!I20/'Data Sheet'!I$17,0)</f>
        <v>2.766389452440755E-2</v>
      </c>
      <c r="K9" s="84">
        <f>IFERROR('Data Sheet'!J20/'Data Sheet'!J$17,0)</f>
        <v>2.6800900524513945E-2</v>
      </c>
      <c r="L9" s="84">
        <f>IFERROR('Data Sheet'!K20/'Data Sheet'!K$17,0)</f>
        <v>2.5360403548323016E-2</v>
      </c>
    </row>
    <row r="10" spans="2:12" ht="15" customHeight="1" x14ac:dyDescent="0.2">
      <c r="B10" s="83" t="s">
        <v>313</v>
      </c>
      <c r="C10" s="84">
        <f>IFERROR('Data Sheet'!B21/'Data Sheet'!B$17,0)</f>
        <v>8.9697890025575447E-2</v>
      </c>
      <c r="D10" s="84">
        <f>IFERROR('Data Sheet'!C21/'Data Sheet'!C$17,0)</f>
        <v>8.4115948343424299E-2</v>
      </c>
      <c r="E10" s="84">
        <f>IFERROR('Data Sheet'!D21/'Data Sheet'!D$17,0)</f>
        <v>8.3156141613239656E-2</v>
      </c>
      <c r="F10" s="84">
        <f>IFERROR('Data Sheet'!E21/'Data Sheet'!E$17,0)</f>
        <v>7.7929412892705094E-2</v>
      </c>
      <c r="G10" s="84">
        <f>IFERROR('Data Sheet'!F21/'Data Sheet'!F$17,0)</f>
        <v>9.154857437863749E-2</v>
      </c>
      <c r="H10" s="84">
        <f>IFERROR('Data Sheet'!G21/'Data Sheet'!G$17,0)</f>
        <v>9.4897543700168563E-2</v>
      </c>
      <c r="I10" s="84">
        <f>IFERROR('Data Sheet'!H21/'Data Sheet'!H$17,0)</f>
        <v>0</v>
      </c>
      <c r="J10" s="84">
        <f>IFERROR('Data Sheet'!I21/'Data Sheet'!I$17,0)</f>
        <v>7.9339539532235326E-2</v>
      </c>
      <c r="K10" s="84">
        <f>IFERROR('Data Sheet'!J21/'Data Sheet'!J$17,0)</f>
        <v>7.8333059427093746E-2</v>
      </c>
      <c r="L10" s="84">
        <f>IFERROR('Data Sheet'!K21/'Data Sheet'!K$17,0)</f>
        <v>7.8441864683475429E-2</v>
      </c>
    </row>
    <row r="11" spans="2:12" ht="15" customHeight="1" x14ac:dyDescent="0.2">
      <c r="B11" s="83" t="s">
        <v>59</v>
      </c>
      <c r="C11" s="84">
        <f>IFERROR('Data Sheet'!B22/'Data Sheet'!B$17,0)</f>
        <v>0.10164741847826086</v>
      </c>
      <c r="D11" s="84">
        <f>IFERROR('Data Sheet'!C22/'Data Sheet'!C$17,0)</f>
        <v>9.9550400406649864E-2</v>
      </c>
      <c r="E11" s="84">
        <f>IFERROR('Data Sheet'!D22/'Data Sheet'!D$17,0)</f>
        <v>0.10172044401684872</v>
      </c>
      <c r="F11" s="84">
        <f>IFERROR('Data Sheet'!E22/'Data Sheet'!E$17,0)</f>
        <v>0.11243045895777012</v>
      </c>
      <c r="G11" s="84">
        <f>IFERROR('Data Sheet'!F22/'Data Sheet'!F$17,0)</f>
        <v>0.103790960877414</v>
      </c>
      <c r="H11" s="84">
        <f>IFERROR('Data Sheet'!G22/'Data Sheet'!G$17,0)</f>
        <v>9.6790191845160314E-2</v>
      </c>
      <c r="I11" s="84">
        <f>IFERROR('Data Sheet'!H22/'Data Sheet'!H$17,0)</f>
        <v>9.668257843911264E-2</v>
      </c>
      <c r="J11" s="84">
        <f>IFERROR('Data Sheet'!I22/'Data Sheet'!I$17,0)</f>
        <v>9.5764144218080841E-2</v>
      </c>
      <c r="K11" s="84">
        <f>IFERROR('Data Sheet'!J22/'Data Sheet'!J$17,0)</f>
        <v>0.10207231520734042</v>
      </c>
      <c r="L11" s="84">
        <f>IFERROR('Data Sheet'!K22/'Data Sheet'!K$17,0)</f>
        <v>9.8399885983778607E-2</v>
      </c>
    </row>
    <row r="12" spans="2:12" ht="15" customHeight="1" x14ac:dyDescent="0.2">
      <c r="B12" s="83" t="s">
        <v>314</v>
      </c>
      <c r="C12" s="84">
        <f>IFERROR('Data Sheet'!B23/'Data Sheet'!B$17,0)</f>
        <v>0.1822230658567775</v>
      </c>
      <c r="D12" s="84">
        <f>IFERROR('Data Sheet'!C23/'Data Sheet'!C$17,0)</f>
        <v>0.19002556616163094</v>
      </c>
      <c r="E12" s="84">
        <f>IFERROR('Data Sheet'!D23/'Data Sheet'!D$17,0)</f>
        <v>0.17997800936219066</v>
      </c>
      <c r="F12" s="84">
        <f>IFERROR('Data Sheet'!E23/'Data Sheet'!E$17,0)</f>
        <v>0.16830673788748041</v>
      </c>
      <c r="G12" s="84">
        <f>IFERROR('Data Sheet'!F23/'Data Sheet'!F$17,0)</f>
        <v>0.19687950075268357</v>
      </c>
      <c r="H12" s="84">
        <f>IFERROR('Data Sheet'!G23/'Data Sheet'!G$17,0)</f>
        <v>0.18891859837509234</v>
      </c>
      <c r="I12" s="84">
        <f>IFERROR('Data Sheet'!H23/'Data Sheet'!H$17,0)</f>
        <v>0</v>
      </c>
      <c r="J12" s="84">
        <f>IFERROR('Data Sheet'!I23/'Data Sheet'!I$17,0)</f>
        <v>0.19831113446850832</v>
      </c>
      <c r="K12" s="84">
        <f>IFERROR('Data Sheet'!J23/'Data Sheet'!J$17,0)</f>
        <v>0.20426838323377006</v>
      </c>
      <c r="L12" s="84">
        <f>IFERROR('Data Sheet'!K23/'Data Sheet'!K$17,0)</f>
        <v>0.20647733063840445</v>
      </c>
    </row>
    <row r="13" spans="2:12" ht="15" customHeight="1" x14ac:dyDescent="0.2">
      <c r="B13" s="83" t="s">
        <v>315</v>
      </c>
      <c r="C13" s="84">
        <f>IFERROR('Data Sheet'!B24/'Data Sheet'!B$17,0)</f>
        <v>2.6767303388746801E-2</v>
      </c>
      <c r="D13" s="84">
        <f>IFERROR('Data Sheet'!C24/'Data Sheet'!C$17,0)</f>
        <v>2.5451038630851013E-2</v>
      </c>
      <c r="E13" s="84">
        <f>IFERROR('Data Sheet'!D24/'Data Sheet'!D$17,0)</f>
        <v>1.7214141920461803E-2</v>
      </c>
      <c r="F13" s="84">
        <f>IFERROR('Data Sheet'!E24/'Data Sheet'!E$17,0)</f>
        <v>1.6047154950213593E-2</v>
      </c>
      <c r="G13" s="84">
        <f>IFERROR('Data Sheet'!F24/'Data Sheet'!F$17,0)</f>
        <v>-1.6626200172449E-2</v>
      </c>
      <c r="H13" s="84">
        <f>IFERROR('Data Sheet'!G24/'Data Sheet'!G$17,0)</f>
        <v>-1.32082930894078E-2</v>
      </c>
      <c r="I13" s="84">
        <f>IFERROR('Data Sheet'!H24/'Data Sheet'!H$17,0)</f>
        <v>0.22866001265273472</v>
      </c>
      <c r="J13" s="84">
        <f>IFERROR('Data Sheet'!I24/'Data Sheet'!I$17,0)</f>
        <v>-1.5927349020594912E-2</v>
      </c>
      <c r="K13" s="84">
        <f>IFERROR('Data Sheet'!J24/'Data Sheet'!J$17,0)</f>
        <v>-1.9264353841980521E-2</v>
      </c>
      <c r="L13" s="84">
        <f>IFERROR('Data Sheet'!K24/'Data Sheet'!K$17,0)</f>
        <v>-2.4224128250973889E-2</v>
      </c>
    </row>
    <row r="14" spans="2:12" ht="15" customHeight="1" x14ac:dyDescent="0.2">
      <c r="B14" s="83" t="s">
        <v>107</v>
      </c>
      <c r="C14" s="84">
        <f>IFERROR('Data Sheet'!B25/'Data Sheet'!B$17,0)</f>
        <v>1.767503196930946E-2</v>
      </c>
      <c r="D14" s="84">
        <f>IFERROR('Data Sheet'!C25/'Data Sheet'!C$17,0)</f>
        <v>2.2928959367779906E-2</v>
      </c>
      <c r="E14" s="84">
        <f>IFERROR('Data Sheet'!D25/'Data Sheet'!D$17,0)</f>
        <v>1.9959737729304951E-2</v>
      </c>
      <c r="F14" s="84">
        <f>IFERROR('Data Sheet'!E25/'Data Sheet'!E$17,0)</f>
        <v>1.0925069082241761E-2</v>
      </c>
      <c r="G14" s="84">
        <f>IFERROR('Data Sheet'!F25/'Data Sheet'!F$17,0)</f>
        <v>-7.6238468066746308E-3</v>
      </c>
      <c r="H14" s="84">
        <f>IFERROR('Data Sheet'!G25/'Data Sheet'!G$17,0)</f>
        <v>6.3478874306384112E-3</v>
      </c>
      <c r="I14" s="84">
        <f>IFERROR('Data Sheet'!H25/'Data Sheet'!H$17,0)</f>
        <v>6.0388052053978033E-3</v>
      </c>
      <c r="J14" s="84">
        <f>IFERROR('Data Sheet'!I25/'Data Sheet'!I$17,0)</f>
        <v>6.5176156816317537E-3</v>
      </c>
      <c r="K14" s="84">
        <f>IFERROR('Data Sheet'!J25/'Data Sheet'!J$17,0)</f>
        <v>1.7427366995420156E-2</v>
      </c>
      <c r="L14" s="84">
        <f>IFERROR('Data Sheet'!K25/'Data Sheet'!K$17,0)</f>
        <v>6.9200072555777254E-3</v>
      </c>
    </row>
    <row r="15" spans="2:12" ht="15" customHeight="1" x14ac:dyDescent="0.2">
      <c r="B15" s="83" t="s">
        <v>108</v>
      </c>
      <c r="C15" s="84">
        <f>IFERROR('Data Sheet'!B26/'Data Sheet'!B$17,0)</f>
        <v>3.4192175511508952E-2</v>
      </c>
      <c r="D15" s="84">
        <f>IFERROR('Data Sheet'!C26/'Data Sheet'!C$17,0)</f>
        <v>2.9725644179602505E-2</v>
      </c>
      <c r="E15" s="84">
        <f>IFERROR('Data Sheet'!D26/'Data Sheet'!D$17,0)</f>
        <v>2.9925862445326586E-2</v>
      </c>
      <c r="F15" s="84">
        <f>IFERROR('Data Sheet'!E26/'Data Sheet'!E$17,0)</f>
        <v>2.7743757879195776E-2</v>
      </c>
      <c r="G15" s="84">
        <f>IFERROR('Data Sheet'!F26/'Data Sheet'!F$17,0)</f>
        <v>2.6526753678109218E-2</v>
      </c>
      <c r="H15" s="84">
        <f>IFERROR('Data Sheet'!G26/'Data Sheet'!G$17,0)</f>
        <v>2.3851035925989056E-2</v>
      </c>
      <c r="I15" s="84">
        <f>IFERROR('Data Sheet'!H26/'Data Sheet'!H$17,0)</f>
        <v>2.2425142343265557E-2</v>
      </c>
      <c r="J15" s="84">
        <f>IFERROR('Data Sheet'!I26/'Data Sheet'!I$17,0)</f>
        <v>2.3274270729268683E-2</v>
      </c>
      <c r="K15" s="84">
        <f>IFERROR('Data Sheet'!J26/'Data Sheet'!J$17,0)</f>
        <v>2.6726648833060414E-2</v>
      </c>
      <c r="L15" s="84">
        <f>IFERROR('Data Sheet'!K26/'Data Sheet'!K$17,0)</f>
        <v>3.0198319124493625E-2</v>
      </c>
    </row>
    <row r="16" spans="2:12" ht="15" customHeight="1" x14ac:dyDescent="0.2">
      <c r="B16" s="83" t="s">
        <v>110</v>
      </c>
      <c r="C16" s="84">
        <f>IFERROR('Data Sheet'!B27/'Data Sheet'!B$17,0)</f>
        <v>9.1811860613810747E-3</v>
      </c>
      <c r="D16" s="84">
        <f>IFERROR('Data Sheet'!C27/'Data Sheet'!C$17,0)</f>
        <v>9.9138614291015004E-3</v>
      </c>
      <c r="E16" s="84">
        <f>IFERROR('Data Sheet'!D27/'Data Sheet'!D$17,0)</f>
        <v>1.0439085124788786E-2</v>
      </c>
      <c r="F16" s="84">
        <f>IFERROR('Data Sheet'!E27/'Data Sheet'!E$17,0)</f>
        <v>1.2298099704644858E-2</v>
      </c>
      <c r="G16" s="84">
        <f>IFERROR('Data Sheet'!F27/'Data Sheet'!F$17,0)</f>
        <v>1.3681948958623773E-2</v>
      </c>
      <c r="H16" s="84">
        <f>IFERROR('Data Sheet'!G27/'Data Sheet'!G$17,0)</f>
        <v>9.1477993674601819E-3</v>
      </c>
      <c r="I16" s="84">
        <f>IFERROR('Data Sheet'!H27/'Data Sheet'!H$17,0)</f>
        <v>6.2369616705792554E-3</v>
      </c>
      <c r="J16" s="84">
        <f>IFERROR('Data Sheet'!I27/'Data Sheet'!I$17,0)</f>
        <v>5.9641984119793937E-3</v>
      </c>
      <c r="K16" s="84">
        <f>IFERROR('Data Sheet'!J27/'Data Sheet'!J$17,0)</f>
        <v>6.732153358453505E-3</v>
      </c>
      <c r="L16" s="84">
        <f>IFERROR('Data Sheet'!K27/'Data Sheet'!K$17,0)</f>
        <v>6.8370863672877098E-3</v>
      </c>
    </row>
    <row r="17" spans="2:12" ht="15" customHeight="1" x14ac:dyDescent="0.2">
      <c r="B17" s="83" t="s">
        <v>316</v>
      </c>
      <c r="C17" s="84">
        <f>IFERROR('Data Sheet'!B28/'Data Sheet'!B$17,0)</f>
        <v>0.18375359654731457</v>
      </c>
      <c r="D17" s="84">
        <f>IFERROR('Data Sheet'!C28/'Data Sheet'!C$17,0)</f>
        <v>0.21509847001532906</v>
      </c>
      <c r="E17" s="84">
        <f>IFERROR('Data Sheet'!D28/'Data Sheet'!D$17,0)</f>
        <v>0.21614614072391239</v>
      </c>
      <c r="F17" s="84">
        <f>IFERROR('Data Sheet'!E28/'Data Sheet'!E$17,0)</f>
        <v>0.21069540667698872</v>
      </c>
      <c r="G17" s="84">
        <f>IFERROR('Data Sheet'!F28/'Data Sheet'!F$17,0)</f>
        <v>0.1938402736932511</v>
      </c>
      <c r="H17" s="84">
        <f>IFERROR('Data Sheet'!G28/'Data Sheet'!G$17,0)</f>
        <v>0.19269560915099521</v>
      </c>
      <c r="I17" s="84">
        <f>IFERROR('Data Sheet'!H28/'Data Sheet'!H$17,0)</f>
        <v>0.21113806643208566</v>
      </c>
      <c r="J17" s="84">
        <f>IFERROR('Data Sheet'!I28/'Data Sheet'!I$17,0)</f>
        <v>0.21681125888490929</v>
      </c>
      <c r="K17" s="84">
        <f>IFERROR('Data Sheet'!J28/'Data Sheet'!J$17,0)</f>
        <v>0.22015478012589126</v>
      </c>
      <c r="L17" s="84">
        <f>IFERROR('Data Sheet'!K28/'Data Sheet'!K$17,0)</f>
        <v>0.19908139203441216</v>
      </c>
    </row>
    <row r="18" spans="2:12" ht="15" customHeight="1" x14ac:dyDescent="0.2">
      <c r="B18" s="83" t="s">
        <v>112</v>
      </c>
      <c r="C18" s="84">
        <f>IFERROR('Data Sheet'!B29/'Data Sheet'!B$17,0)</f>
        <v>6.1352101982097187E-2</v>
      </c>
      <c r="D18" s="84">
        <f>IFERROR('Data Sheet'!C29/'Data Sheet'!C$17,0)</f>
        <v>7.2794929628852298E-2</v>
      </c>
      <c r="E18" s="84">
        <f>IFERROR('Data Sheet'!D29/'Data Sheet'!D$17,0)</f>
        <v>5.7001835248081882E-2</v>
      </c>
      <c r="F18" s="84">
        <f>IFERROR('Data Sheet'!E29/'Data Sheet'!E$17,0)</f>
        <v>5.4708491291779869E-2</v>
      </c>
      <c r="G18" s="84">
        <f>IFERROR('Data Sheet'!F29/'Data Sheet'!F$17,0)</f>
        <v>5.012757291261747E-2</v>
      </c>
      <c r="H18" s="84">
        <f>IFERROR('Data Sheet'!G29/'Data Sheet'!G$17,0)</f>
        <v>5.1219272579209517E-2</v>
      </c>
      <c r="I18" s="84">
        <f>IFERROR('Data Sheet'!H29/'Data Sheet'!H$17,0)</f>
        <v>5.4355520931910505E-2</v>
      </c>
      <c r="J18" s="84">
        <f>IFERROR('Data Sheet'!I29/'Data Sheet'!I$17,0)</f>
        <v>5.5588920012347352E-2</v>
      </c>
      <c r="K18" s="84">
        <f>IFERROR('Data Sheet'!J29/'Data Sheet'!J$17,0)</f>
        <v>5.6083292577404908E-2</v>
      </c>
      <c r="L18" s="84">
        <f>IFERROR('Data Sheet'!K29/'Data Sheet'!K$17,0)</f>
        <v>4.5997339621500696E-2</v>
      </c>
    </row>
    <row r="19" spans="2:12" ht="15" customHeight="1" x14ac:dyDescent="0.2">
      <c r="B19" s="83" t="s">
        <v>317</v>
      </c>
      <c r="C19" s="84">
        <f>IFERROR('Data Sheet'!B30/'Data Sheet'!B$17,0)</f>
        <v>0.12240149456521739</v>
      </c>
      <c r="D19" s="84">
        <f>IFERROR('Data Sheet'!C30/'Data Sheet'!C$17,0)</f>
        <v>0.14230354038647677</v>
      </c>
      <c r="E19" s="84">
        <f>IFERROR('Data Sheet'!D30/'Data Sheet'!D$17,0)</f>
        <v>0.15914430547583053</v>
      </c>
      <c r="F19" s="84">
        <f>IFERROR('Data Sheet'!E30/'Data Sheet'!E$17,0)</f>
        <v>0.15598691538520884</v>
      </c>
      <c r="G19" s="84">
        <f>IFERROR('Data Sheet'!F30/'Data Sheet'!F$17,0)</f>
        <v>0.14371270078063361</v>
      </c>
      <c r="H19" s="84">
        <f>IFERROR('Data Sheet'!G30/'Data Sheet'!G$17,0)</f>
        <v>0.14147633657178571</v>
      </c>
      <c r="I19" s="84">
        <f>IFERROR('Data Sheet'!H30/'Data Sheet'!H$17,0)</f>
        <v>0.15678254550017517</v>
      </c>
      <c r="J19" s="84">
        <f>IFERROR('Data Sheet'!I30/'Data Sheet'!I$17,0)</f>
        <v>0.16122233887256196</v>
      </c>
      <c r="K19" s="84">
        <f>IFERROR('Data Sheet'!J30/'Data Sheet'!J$17,0)</f>
        <v>0.16407148754848636</v>
      </c>
      <c r="L19" s="84">
        <f>IFERROR('Data Sheet'!K30/'Data Sheet'!K$17,0)</f>
        <v>0.15308405241291148</v>
      </c>
    </row>
    <row r="20" spans="2:12" ht="15" customHeight="1" x14ac:dyDescent="0.2">
      <c r="B20" s="83" t="s">
        <v>318</v>
      </c>
      <c r="C20" s="84">
        <f>IFERROR('Data Sheet'!B31/'Data Sheet'!B$17,0)</f>
        <v>8.2841472186700765E-2</v>
      </c>
      <c r="D20" s="84">
        <f>IFERROR('Data Sheet'!C31/'Data Sheet'!C$17,0)</f>
        <v>9.8193720128902331E-2</v>
      </c>
      <c r="E20" s="84">
        <f>IFERROR('Data Sheet'!D31/'Data Sheet'!D$17,0)</f>
        <v>0.26660091034772698</v>
      </c>
      <c r="F20" s="84">
        <f>IFERROR('Data Sheet'!E31/'Data Sheet'!E$17,0)</f>
        <v>0.14444911359749754</v>
      </c>
      <c r="G20" s="84">
        <f>IFERROR('Data Sheet'!F31/'Data Sheet'!F$17,0)</f>
        <v>0.13082244333503612</v>
      </c>
      <c r="H20" s="84">
        <f>IFERROR('Data Sheet'!G31/'Data Sheet'!G$17,0)</f>
        <v>0.1255397420601102</v>
      </c>
      <c r="I20" s="84">
        <f>IFERROR('Data Sheet'!H31/'Data Sheet'!H$17,0)</f>
        <v>8.7717436200415139E-2</v>
      </c>
      <c r="J20" s="84">
        <f>IFERROR('Data Sheet'!I31/'Data Sheet'!I$17,0)</f>
        <v>0.12727449373593142</v>
      </c>
      <c r="K20" s="84">
        <f>IFERROR('Data Sheet'!J31/'Data Sheet'!J$17,0)</f>
        <v>0.12886826561909079</v>
      </c>
      <c r="L20" s="84">
        <f>IFERROR('Data Sheet'!K31/'Data Sheet'!K$17,0)</f>
        <v>9.9935218056023428E-2</v>
      </c>
    </row>
    <row r="21" spans="2:12" ht="15.75" customHeight="1" x14ac:dyDescent="0.15"/>
    <row r="22" spans="2:12" ht="15.75" customHeight="1" x14ac:dyDescent="0.15"/>
    <row r="23" spans="2:12" ht="15.75" customHeight="1" x14ac:dyDescent="0.2">
      <c r="B23" s="123" t="str">
        <f>"Common Size Balance Sheet"&amp;"-"&amp;'Data Sheet'!B1</f>
        <v>Common Size Balance Sheet-NESTLE INDIA LTD</v>
      </c>
      <c r="C23" s="123"/>
      <c r="D23" s="123"/>
      <c r="E23" s="123"/>
      <c r="F23" s="123"/>
      <c r="G23" s="123"/>
      <c r="H23" s="123"/>
      <c r="I23" s="123"/>
      <c r="J23" s="123"/>
      <c r="K23" s="123"/>
      <c r="L23" s="123"/>
    </row>
    <row r="24" spans="2:12" ht="15.75" customHeight="1" x14ac:dyDescent="0.15"/>
    <row r="25" spans="2:12" ht="15.75" customHeight="1" x14ac:dyDescent="0.2">
      <c r="B25" s="40" t="s">
        <v>307</v>
      </c>
      <c r="C25" s="82">
        <f>'Data Sheet'!B16</f>
        <v>43100</v>
      </c>
      <c r="D25" s="82">
        <f>'Data Sheet'!C16</f>
        <v>43465</v>
      </c>
      <c r="E25" s="82">
        <f>'Data Sheet'!D16</f>
        <v>43830</v>
      </c>
      <c r="F25" s="82">
        <f>'Data Sheet'!E16</f>
        <v>44196</v>
      </c>
      <c r="G25" s="82">
        <f>'Data Sheet'!F16</f>
        <v>44561</v>
      </c>
      <c r="H25" s="82">
        <f>'Data Sheet'!G16</f>
        <v>44926</v>
      </c>
      <c r="I25" s="82">
        <f>'Data Sheet'!H16</f>
        <v>45291</v>
      </c>
      <c r="J25" s="82">
        <f>'Data Sheet'!I16</f>
        <v>45382</v>
      </c>
      <c r="K25" s="82">
        <f>'Data Sheet'!J16</f>
        <v>45747</v>
      </c>
      <c r="L25" s="82">
        <f>'Data Sheet'!K16</f>
        <v>46112</v>
      </c>
    </row>
    <row r="26" spans="2:12" ht="15.75" customHeight="1" x14ac:dyDescent="0.15"/>
    <row r="27" spans="2:12" ht="15.75" customHeight="1" x14ac:dyDescent="0.2">
      <c r="B27" s="83" t="s">
        <v>319</v>
      </c>
      <c r="C27" s="84">
        <f>'Historical FS'!C39/'Historical FS'!C$43</f>
        <v>1.3095934990268371E-2</v>
      </c>
      <c r="D27" s="84">
        <f>'Historical FS'!D39/'Historical FS'!D$43</f>
        <v>1.1921247069761921E-2</v>
      </c>
      <c r="E27" s="84">
        <f>'Historical FS'!E39/'Historical FS'!E$43</f>
        <v>1.3442186885712136E-2</v>
      </c>
      <c r="F27" s="84">
        <f>'Historical FS'!F39/'Historical FS'!F$43</f>
        <v>1.2205480440470751E-2</v>
      </c>
      <c r="G27" s="84">
        <f>'Historical FS'!G39/'Historical FS'!G$43</f>
        <v>1.1709798120748641E-2</v>
      </c>
      <c r="H27" s="84">
        <f>'Historical FS'!H39/'Historical FS'!H$43</f>
        <v>1.0738700530363949E-2</v>
      </c>
      <c r="I27" s="84">
        <f>'Historical FS'!I39/'Historical FS'!I$43</f>
        <v>1.0738700530363949E-2</v>
      </c>
      <c r="J27" s="84">
        <f>'Historical FS'!J39/'Historical FS'!J$43</f>
        <v>9.1627340336366044E-3</v>
      </c>
      <c r="K27" s="84">
        <f>'Historical FS'!K39/'Historical FS'!K$43</f>
        <v>7.8238283528983144E-3</v>
      </c>
      <c r="L27" s="84">
        <f>'Historical FS'!L39/'Historical FS'!L$43</f>
        <v>1.4436441252151468E-2</v>
      </c>
    </row>
    <row r="28" spans="2:12" ht="15.75" customHeight="1" x14ac:dyDescent="0.2">
      <c r="B28" s="83" t="s">
        <v>320</v>
      </c>
      <c r="C28" s="84">
        <f>'Historical FS'!C40/'Historical FS'!C$43</f>
        <v>0.45149465065961841</v>
      </c>
      <c r="D28" s="84">
        <f>'Historical FS'!D40/'Historical FS'!D$43</f>
        <v>0.44229532843394231</v>
      </c>
      <c r="E28" s="84">
        <f>'Historical FS'!E40/'Historical FS'!E$43</f>
        <v>0.25407294637903011</v>
      </c>
      <c r="F28" s="84">
        <f>'Historical FS'!F40/'Historical FS'!F$43</f>
        <v>0.24341591421478964</v>
      </c>
      <c r="G28" s="84">
        <f>'Historical FS'!G40/'Historical FS'!G$43</f>
        <v>0.22466975867517275</v>
      </c>
      <c r="H28" s="84">
        <f>'Historical FS'!H40/'Historical FS'!H$43</f>
        <v>0.26314939512671043</v>
      </c>
      <c r="I28" s="84">
        <f>'Historical FS'!I40/'Historical FS'!I$43</f>
        <v>0.26314939512671043</v>
      </c>
      <c r="J28" s="84">
        <f>'Historical FS'!J40/'Historical FS'!J$43</f>
        <v>0.30832001338013848</v>
      </c>
      <c r="K28" s="84">
        <f>'Historical FS'!K40/'Historical FS'!K$43</f>
        <v>0.3262549406072271</v>
      </c>
      <c r="L28" s="84">
        <f>'Historical FS'!L40/'Historical FS'!L$43</f>
        <v>0.38304595958575055</v>
      </c>
    </row>
    <row r="29" spans="2:12" ht="15.75" customHeight="1" x14ac:dyDescent="0.2">
      <c r="B29" s="83" t="s">
        <v>321</v>
      </c>
      <c r="C29" s="84">
        <f>'Historical FS'!C41/'Historical FS'!C$43</f>
        <v>4.7727769711473815E-3</v>
      </c>
      <c r="D29" s="84">
        <f>'Historical FS'!D41/'Historical FS'!D$43</f>
        <v>4.344665235754345E-3</v>
      </c>
      <c r="E29" s="84">
        <f>'Historical FS'!E41/'Historical FS'!E$43</f>
        <v>2.6340663660925648E-2</v>
      </c>
      <c r="F29" s="84">
        <f>'Historical FS'!F41/'Historical FS'!F$43</f>
        <v>1.8670258350601859E-2</v>
      </c>
      <c r="G29" s="84">
        <f>'Historical FS'!G41/'Historical FS'!G$43</f>
        <v>3.2360431520998573E-2</v>
      </c>
      <c r="H29" s="84">
        <f>'Historical FS'!H41/'Historical FS'!H$43</f>
        <v>3.0128949050757678E-2</v>
      </c>
      <c r="I29" s="84">
        <f>'Historical FS'!I41/'Historical FS'!I$43</f>
        <v>3.0128949050757678E-2</v>
      </c>
      <c r="J29" s="84">
        <f>'Historical FS'!J41/'Historical FS'!J$43</f>
        <v>3.2740476629421478E-2</v>
      </c>
      <c r="K29" s="84">
        <f>'Historical FS'!K41/'Historical FS'!K$43</f>
        <v>9.4681955129427481E-2</v>
      </c>
      <c r="L29" s="84">
        <f>'Historical FS'!L41/'Historical FS'!L$43</f>
        <v>3.3252552748823293E-2</v>
      </c>
    </row>
    <row r="30" spans="2:12" ht="15.75" customHeight="1" x14ac:dyDescent="0.2">
      <c r="B30" s="83" t="s">
        <v>322</v>
      </c>
      <c r="C30" s="84">
        <f>'Historical FS'!C42/'Historical FS'!C$43</f>
        <v>0.53063663737896583</v>
      </c>
      <c r="D30" s="84">
        <f>'Historical FS'!D42/'Historical FS'!D$43</f>
        <v>0.54143875926054141</v>
      </c>
      <c r="E30" s="84">
        <f>'Historical FS'!E42/'Historical FS'!E$43</f>
        <v>0.70614420307433223</v>
      </c>
      <c r="F30" s="84">
        <f>'Historical FS'!F42/'Historical FS'!F$43</f>
        <v>0.72570834699413778</v>
      </c>
      <c r="G30" s="84">
        <f>'Historical FS'!G42/'Historical FS'!G$43</f>
        <v>0.73126001168308008</v>
      </c>
      <c r="H30" s="84">
        <f>'Historical FS'!H42/'Historical FS'!H$43</f>
        <v>0.69598295529216803</v>
      </c>
      <c r="I30" s="84">
        <f>'Historical FS'!I42/'Historical FS'!I$43</f>
        <v>0.69598295529216803</v>
      </c>
      <c r="J30" s="84">
        <f>'Historical FS'!J42/'Historical FS'!J$43</f>
        <v>0.6497767759568035</v>
      </c>
      <c r="K30" s="84">
        <f>'Historical FS'!K42/'Historical FS'!K$43</f>
        <v>0.57123927591044721</v>
      </c>
      <c r="L30" s="84">
        <f>'Historical FS'!L42/'Historical FS'!L$43</f>
        <v>0.56926504641327469</v>
      </c>
    </row>
    <row r="31" spans="2:12" ht="15.75" customHeight="1" x14ac:dyDescent="0.2">
      <c r="B31" s="85" t="s">
        <v>323</v>
      </c>
      <c r="C31" s="86">
        <f>'Historical FS'!C43/'Historical FS'!C$43</f>
        <v>1</v>
      </c>
      <c r="D31" s="86">
        <f>'Historical FS'!D43/'Historical FS'!D$43</f>
        <v>1</v>
      </c>
      <c r="E31" s="86">
        <f>'Historical FS'!E43/'Historical FS'!E$43</f>
        <v>1</v>
      </c>
      <c r="F31" s="86">
        <f>'Historical FS'!F43/'Historical FS'!F$43</f>
        <v>1</v>
      </c>
      <c r="G31" s="86">
        <f>'Historical FS'!G43/'Historical FS'!G$43</f>
        <v>1</v>
      </c>
      <c r="H31" s="86">
        <f>'Historical FS'!H43/'Historical FS'!H$43</f>
        <v>1</v>
      </c>
      <c r="I31" s="86">
        <f>'Historical FS'!I43/'Historical FS'!I$43</f>
        <v>1</v>
      </c>
      <c r="J31" s="86">
        <f>'Historical FS'!J43/'Historical FS'!J$43</f>
        <v>1</v>
      </c>
      <c r="K31" s="86">
        <f>'Historical FS'!K43/'Historical FS'!K$43</f>
        <v>1</v>
      </c>
      <c r="L31" s="86">
        <f>'Historical FS'!L43/'Historical FS'!L$43</f>
        <v>1</v>
      </c>
    </row>
    <row r="32" spans="2:12" ht="15.75" customHeight="1" x14ac:dyDescent="0.2"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</row>
    <row r="33" spans="2:12" ht="15.75" customHeight="1" x14ac:dyDescent="0.2">
      <c r="B33" s="83" t="s">
        <v>324</v>
      </c>
      <c r="C33" s="84">
        <f>'Historical FS'!C45/'Historical FS'!C$56</f>
        <v>0.35533419625430723</v>
      </c>
      <c r="D33" s="84">
        <f>'Historical FS'!D45/'Historical FS'!D$56</f>
        <v>0.29680962601754685</v>
      </c>
      <c r="E33" s="84">
        <f>'Historical FS'!E45/'Historical FS'!E$56</f>
        <v>0.32642821493000079</v>
      </c>
      <c r="F33" s="84">
        <f>'Historical FS'!F45/'Historical FS'!F$56</f>
        <v>0.27588411249498396</v>
      </c>
      <c r="G33" s="84">
        <f>'Historical FS'!G45/'Historical FS'!G$56</f>
        <v>0.36368991016658708</v>
      </c>
      <c r="H33" s="84">
        <f>'Historical FS'!H45/'Historical FS'!H$56</f>
        <v>0.33898965779162771</v>
      </c>
      <c r="I33" s="84">
        <f>'Historical FS'!I45/'Historical FS'!I$56</f>
        <v>0.33898965779162771</v>
      </c>
      <c r="J33" s="84">
        <f>'Historical FS'!J45/'Historical FS'!J$56</f>
        <v>0.32882545571345217</v>
      </c>
      <c r="K33" s="84">
        <f>'Historical FS'!K45/'Historical FS'!K$56</f>
        <v>0.44414628822555208</v>
      </c>
      <c r="L33" s="84">
        <f>'Historical FS'!L45/'Historical FS'!L$56</f>
        <v>0.47093957776984197</v>
      </c>
    </row>
    <row r="34" spans="2:12" ht="15.75" customHeight="1" x14ac:dyDescent="0.2">
      <c r="B34" s="83" t="s">
        <v>325</v>
      </c>
      <c r="C34" s="84">
        <f>'Historical FS'!C46/'Historical FS'!C$56</f>
        <v>1.2788977791782511E-2</v>
      </c>
      <c r="D34" s="84">
        <f>'Historical FS'!D46/'Historical FS'!D$56</f>
        <v>1.3006795185013008E-2</v>
      </c>
      <c r="E34" s="84">
        <f>'Historical FS'!E46/'Historical FS'!E$56</f>
        <v>1.9977861239603288E-2</v>
      </c>
      <c r="F34" s="84">
        <f>'Historical FS'!F46/'Historical FS'!F$56</f>
        <v>8.0835674130634846E-2</v>
      </c>
      <c r="G34" s="84">
        <f>'Historical FS'!G46/'Historical FS'!G$56</f>
        <v>2.9903584228084808E-2</v>
      </c>
      <c r="H34" s="84">
        <f>'Historical FS'!H46/'Historical FS'!H$56</f>
        <v>3.9912058930317608E-2</v>
      </c>
      <c r="I34" s="84">
        <f>'Historical FS'!I46/'Historical FS'!I$56</f>
        <v>3.9912058930317608E-2</v>
      </c>
      <c r="J34" s="84">
        <f>'Historical FS'!J46/'Historical FS'!J$56</f>
        <v>0.16551364336989433</v>
      </c>
      <c r="K34" s="84">
        <f>'Historical FS'!K46/'Historical FS'!K$56</f>
        <v>9.5145282861174504E-2</v>
      </c>
      <c r="L34" s="84">
        <f>'Historical FS'!L46/'Historical FS'!L$56</f>
        <v>3.7955644796015924E-2</v>
      </c>
    </row>
    <row r="35" spans="2:12" ht="15.75" customHeight="1" x14ac:dyDescent="0.2">
      <c r="B35" s="83" t="s">
        <v>326</v>
      </c>
      <c r="C35" s="84">
        <f>'Historical FS'!C47/'Historical FS'!C$56</f>
        <v>0.26877362449898745</v>
      </c>
      <c r="D35" s="84">
        <f>'Historical FS'!D47/'Historical FS'!D$56</f>
        <v>0.32869234725670371</v>
      </c>
      <c r="E35" s="84">
        <f>'Historical FS'!E47/'Historical FS'!E$56</f>
        <v>0.24411886897143989</v>
      </c>
      <c r="F35" s="84">
        <f>'Historical FS'!F47/'Historical FS'!F$56</f>
        <v>0.1852936745939418</v>
      </c>
      <c r="G35" s="84">
        <f>'Historical FS'!G47/'Historical FS'!G$56</f>
        <v>9.3996572801255257E-2</v>
      </c>
      <c r="H35" s="84">
        <f>'Historical FS'!H47/'Historical FS'!H$56</f>
        <v>8.6597896809574595E-2</v>
      </c>
      <c r="I35" s="84">
        <f>'Historical FS'!I47/'Historical FS'!I$56</f>
        <v>8.6597896809574595E-2</v>
      </c>
      <c r="J35" s="84">
        <f>'Historical FS'!J47/'Historical FS'!J$56</f>
        <v>4.4081284341246751E-2</v>
      </c>
      <c r="K35" s="84">
        <f>'Historical FS'!K47/'Historical FS'!K$56</f>
        <v>5.7254649303101535E-2</v>
      </c>
      <c r="L35" s="84">
        <f>'Historical FS'!L47/'Historical FS'!L$56</f>
        <v>5.2825561103137866E-2</v>
      </c>
    </row>
    <row r="36" spans="2:12" ht="15.75" customHeight="1" x14ac:dyDescent="0.2">
      <c r="B36" s="83" t="s">
        <v>327</v>
      </c>
      <c r="C36" s="84">
        <f>'Historical FS'!C48/'Historical FS'!C$56</f>
        <v>3.0494703630108422E-2</v>
      </c>
      <c r="D36" s="84">
        <f>'Historical FS'!D48/'Historical FS'!D$56</f>
        <v>2.7641912542902665E-2</v>
      </c>
      <c r="E36" s="84">
        <f>'Historical FS'!E48/'Historical FS'!E$56</f>
        <v>3.0906434460625638E-2</v>
      </c>
      <c r="F36" s="84">
        <f>'Historical FS'!F48/'Historical FS'!F$56</f>
        <v>3.375938164975259E-2</v>
      </c>
      <c r="G36" s="84">
        <f>'Historical FS'!G48/'Historical FS'!G$56</f>
        <v>0.20952061723582208</v>
      </c>
      <c r="H36" s="84">
        <f>'Historical FS'!H48/'Historical FS'!H$56</f>
        <v>0.19300369539601325</v>
      </c>
      <c r="I36" s="84">
        <f>'Historical FS'!I48/'Historical FS'!I$56</f>
        <v>0.19300369539601325</v>
      </c>
      <c r="J36" s="84">
        <f>'Historical FS'!J48/'Historical FS'!J$56</f>
        <v>0.16046283115367579</v>
      </c>
      <c r="K36" s="84">
        <f>'Historical FS'!K48/'Historical FS'!K$56</f>
        <v>0.13495576477881574</v>
      </c>
      <c r="L36" s="84">
        <f>'Historical FS'!L48/'Historical FS'!L$56</f>
        <v>0.1208796474103422</v>
      </c>
    </row>
    <row r="37" spans="2:12" ht="15.75" customHeight="1" x14ac:dyDescent="0.2">
      <c r="B37" s="85" t="s">
        <v>328</v>
      </c>
      <c r="C37" s="86">
        <f>'Historical FS'!C49/'Historical FS'!C$56</f>
        <v>0.66739150217518561</v>
      </c>
      <c r="D37" s="86">
        <f>'Historical FS'!D49/'Historical FS'!D$56</f>
        <v>0.66615068100216612</v>
      </c>
      <c r="E37" s="86">
        <f>'Historical FS'!E49/'Historical FS'!E$56</f>
        <v>0.62143137960166961</v>
      </c>
      <c r="F37" s="86">
        <f>'Historical FS'!F49/'Historical FS'!F$56</f>
        <v>0.57577284286931329</v>
      </c>
      <c r="G37" s="86">
        <f>'Historical FS'!G49/'Historical FS'!G$56</f>
        <v>0.69711068443174928</v>
      </c>
      <c r="H37" s="86">
        <f>'Historical FS'!H49/'Historical FS'!H$56</f>
        <v>0.65850330892753317</v>
      </c>
      <c r="I37" s="86">
        <f>'Historical FS'!I49/'Historical FS'!I$56</f>
        <v>0.65850330892753317</v>
      </c>
      <c r="J37" s="86">
        <f>'Historical FS'!J49/'Historical FS'!J$56</f>
        <v>0.69888321457826907</v>
      </c>
      <c r="K37" s="86">
        <f>'Historical FS'!K49/'Historical FS'!K$56</f>
        <v>0.73150198516864395</v>
      </c>
      <c r="L37" s="86">
        <f>'Historical FS'!L49/'Historical FS'!L$56</f>
        <v>0.68260043107933799</v>
      </c>
    </row>
    <row r="38" spans="2:12" ht="15.75" customHeight="1" x14ac:dyDescent="0.2">
      <c r="B38" s="83"/>
      <c r="C38" s="84"/>
      <c r="D38" s="84"/>
      <c r="E38" s="84"/>
      <c r="F38" s="84"/>
      <c r="G38" s="84"/>
      <c r="H38" s="84"/>
      <c r="I38" s="84"/>
      <c r="J38" s="84"/>
      <c r="K38" s="84"/>
      <c r="L38" s="84"/>
    </row>
    <row r="39" spans="2:12" ht="15.75" customHeight="1" x14ac:dyDescent="0.2">
      <c r="B39" s="83" t="s">
        <v>329</v>
      </c>
      <c r="C39" s="84">
        <f>'Historical FS'!C51/'Historical FS'!C$56</f>
        <v>1.2084062809418967E-2</v>
      </c>
      <c r="D39" s="84">
        <f>'Historical FS'!D51/'Historical FS'!D$56</f>
        <v>1.5404150305140406E-2</v>
      </c>
      <c r="E39" s="84">
        <f>'Historical FS'!E51/'Historical FS'!E$56</f>
        <v>1.7333199496998443E-2</v>
      </c>
      <c r="F39" s="84">
        <f>'Historical FS'!F51/'Historical FS'!F$56</f>
        <v>2.0877928739336662E-2</v>
      </c>
      <c r="G39" s="84">
        <f>'Historical FS'!G51/'Historical FS'!G$56</f>
        <v>2.0156349243939553E-2</v>
      </c>
      <c r="H39" s="84">
        <f>'Historical FS'!H51/'Historical FS'!H$56</f>
        <v>2.1371595569088752E-2</v>
      </c>
      <c r="I39" s="84">
        <f>'Historical FS'!I51/'Historical FS'!I$56</f>
        <v>2.1371595569088752E-2</v>
      </c>
      <c r="J39" s="84">
        <f>'Historical FS'!J51/'Historical FS'!J$56</f>
        <v>2.855253129793045E-2</v>
      </c>
      <c r="K39" s="84">
        <f>'Historical FS'!K51/'Historical FS'!K$56</f>
        <v>2.946715687984881E-2</v>
      </c>
      <c r="L39" s="84">
        <f>'Historical FS'!L51/'Historical FS'!L$56</f>
        <v>2.466615308482261E-2</v>
      </c>
    </row>
    <row r="40" spans="2:12" ht="15.75" customHeight="1" x14ac:dyDescent="0.2">
      <c r="B40" s="83" t="s">
        <v>330</v>
      </c>
      <c r="C40" s="84">
        <f>'Historical FS'!C52/'Historical FS'!C$56</f>
        <v>0.12257507208740402</v>
      </c>
      <c r="D40" s="84">
        <f>'Historical FS'!D52/'Historical FS'!D$56</f>
        <v>0.11937938299324438</v>
      </c>
      <c r="E40" s="84">
        <f>'Historical FS'!E52/'Historical FS'!E$56</f>
        <v>0.17887644396858193</v>
      </c>
      <c r="F40" s="84">
        <f>'Historical FS'!F52/'Historical FS'!F$56</f>
        <v>0.1793073940501764</v>
      </c>
      <c r="G40" s="84">
        <f>'Historical FS'!G52/'Historical FS'!G$56</f>
        <v>0.19342055566283262</v>
      </c>
      <c r="H40" s="84">
        <f>'Historical FS'!H52/'Historical FS'!H$56</f>
        <v>0.21481521906191733</v>
      </c>
      <c r="I40" s="84">
        <f>'Historical FS'!I52/'Historical FS'!I$56</f>
        <v>0.21481521906191733</v>
      </c>
      <c r="J40" s="84">
        <f>'Historical FS'!J52/'Historical FS'!J$56</f>
        <v>0.19855061170420013</v>
      </c>
      <c r="K40" s="84">
        <f>'Historical FS'!K52/'Historical FS'!K$56</f>
        <v>0.2312695098706658</v>
      </c>
      <c r="L40" s="84">
        <f>'Historical FS'!L52/'Historical FS'!L$56</f>
        <v>0.19234763052353154</v>
      </c>
    </row>
    <row r="41" spans="2:12" ht="15.75" customHeight="1" x14ac:dyDescent="0.2">
      <c r="B41" s="83" t="s">
        <v>331</v>
      </c>
      <c r="C41" s="84">
        <f>'Historical FS'!C53/'Historical FS'!C$56</f>
        <v>0.19794936292799137</v>
      </c>
      <c r="D41" s="84">
        <f>'Historical FS'!D53/'Historical FS'!D$56</f>
        <v>0.19906578569944908</v>
      </c>
      <c r="E41" s="84">
        <f>'Historical FS'!E53/'Historical FS'!E$56</f>
        <v>0.18235897693275002</v>
      </c>
      <c r="F41" s="84">
        <f>'Historical FS'!F53/'Historical FS'!F$56</f>
        <v>0.22404183434117367</v>
      </c>
      <c r="G41" s="84">
        <f>'Historical FS'!G53/'Historical FS'!G$56</f>
        <v>8.9312410661478492E-2</v>
      </c>
      <c r="H41" s="84">
        <f>'Historical FS'!H53/'Historical FS'!H$56</f>
        <v>0.10530987644146059</v>
      </c>
      <c r="I41" s="84">
        <f>'Historical FS'!I53/'Historical FS'!I$56</f>
        <v>0.10530987644146059</v>
      </c>
      <c r="J41" s="84">
        <f>'Historical FS'!J53/'Historical FS'!J$56</f>
        <v>7.4013642419600387E-2</v>
      </c>
      <c r="K41" s="84">
        <f>'Historical FS'!K53/'Historical FS'!K$56</f>
        <v>7.7613480808413574E-3</v>
      </c>
      <c r="L41" s="84">
        <f>'Historical FS'!L53/'Historical FS'!L$56</f>
        <v>0.10038578531230791</v>
      </c>
    </row>
    <row r="42" spans="2:12" ht="15.75" customHeight="1" x14ac:dyDescent="0.2">
      <c r="B42" s="85" t="s">
        <v>332</v>
      </c>
      <c r="C42" s="86">
        <f>'Historical FS'!C54/'Historical FS'!C$56</f>
        <v>0.33260849782481439</v>
      </c>
      <c r="D42" s="86">
        <f>'Historical FS'!D54/'Historical FS'!D$56</f>
        <v>0.33384931899783388</v>
      </c>
      <c r="E42" s="86">
        <f>'Historical FS'!E54/'Historical FS'!E$56</f>
        <v>0.37856862039833039</v>
      </c>
      <c r="F42" s="86">
        <f>'Historical FS'!F54/'Historical FS'!F$56</f>
        <v>0.42422715713068671</v>
      </c>
      <c r="G42" s="86">
        <f>'Historical FS'!G54/'Historical FS'!G$56</f>
        <v>0.30288931556825066</v>
      </c>
      <c r="H42" s="86">
        <f>'Historical FS'!H54/'Historical FS'!H$56</f>
        <v>0.34149669107246666</v>
      </c>
      <c r="I42" s="86">
        <f>'Historical FS'!I54/'Historical FS'!I$56</f>
        <v>0.34149669107246666</v>
      </c>
      <c r="J42" s="86">
        <f>'Historical FS'!J54/'Historical FS'!J$56</f>
        <v>0.30111678542173098</v>
      </c>
      <c r="K42" s="86">
        <f>'Historical FS'!K54/'Historical FS'!K$56</f>
        <v>0.26849801483135599</v>
      </c>
      <c r="L42" s="86">
        <f>'Historical FS'!L54/'Historical FS'!L$56</f>
        <v>0.31739956892066207</v>
      </c>
    </row>
    <row r="43" spans="2:12" ht="15.75" customHeight="1" x14ac:dyDescent="0.2">
      <c r="B43" s="83"/>
      <c r="C43" s="84"/>
      <c r="D43" s="84"/>
      <c r="E43" s="84"/>
      <c r="F43" s="84"/>
      <c r="G43" s="84"/>
      <c r="H43" s="84"/>
      <c r="I43" s="84"/>
      <c r="J43" s="84"/>
      <c r="K43" s="84"/>
      <c r="L43" s="84"/>
    </row>
    <row r="44" spans="2:12" ht="15.75" customHeight="1" x14ac:dyDescent="0.2">
      <c r="B44" s="85" t="s">
        <v>333</v>
      </c>
      <c r="C44" s="86">
        <f>'Historical FS'!C56/'Historical FS'!C$56</f>
        <v>1</v>
      </c>
      <c r="D44" s="86">
        <f>'Historical FS'!D56/'Historical FS'!D$56</f>
        <v>1</v>
      </c>
      <c r="E44" s="86">
        <f>'Historical FS'!E56/'Historical FS'!E$56</f>
        <v>1</v>
      </c>
      <c r="F44" s="86">
        <f>'Historical FS'!F56/'Historical FS'!F$56</f>
        <v>1</v>
      </c>
      <c r="G44" s="86">
        <f>'Historical FS'!G56/'Historical FS'!G$56</f>
        <v>1</v>
      </c>
      <c r="H44" s="86">
        <f>'Historical FS'!H56/'Historical FS'!H$56</f>
        <v>1</v>
      </c>
      <c r="I44" s="86">
        <f>'Historical FS'!I56/'Historical FS'!I$56</f>
        <v>1</v>
      </c>
      <c r="J44" s="86">
        <f>'Historical FS'!J56/'Historical FS'!J$56</f>
        <v>1</v>
      </c>
      <c r="K44" s="86">
        <f>'Historical FS'!K56/'Historical FS'!K$56</f>
        <v>1</v>
      </c>
      <c r="L44" s="86">
        <f>'Historical FS'!L56/'Historical FS'!L$56</f>
        <v>1</v>
      </c>
    </row>
    <row r="45" spans="2:12" ht="15.75" customHeight="1" x14ac:dyDescent="0.15"/>
    <row r="46" spans="2:12" ht="15.75" customHeight="1" x14ac:dyDescent="0.15"/>
    <row r="47" spans="2:12" ht="15.75" customHeight="1" x14ac:dyDescent="0.15"/>
    <row r="48" spans="2:12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</sheetData>
  <mergeCells count="3">
    <mergeCell ref="B2:L2"/>
    <mergeCell ref="B5:L5"/>
    <mergeCell ref="B23:L23"/>
  </mergeCells>
  <pageMargins left="0.25" right="0.25" top="0.75" bottom="0.75" header="0.511811023622047" footer="0.511811023622047"/>
  <pageSetup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O100"/>
  <sheetViews>
    <sheetView showGridLines="0" zoomScaleNormal="100" workbookViewId="0"/>
  </sheetViews>
  <sheetFormatPr defaultColWidth="14.46484375" defaultRowHeight="13.5" x14ac:dyDescent="0.15"/>
  <cols>
    <col min="1" max="1" width="1.9609375" style="15" customWidth="1"/>
    <col min="2" max="2" width="28.31640625" style="15" customWidth="1"/>
    <col min="3" max="3" width="11.15234375" style="15" customWidth="1"/>
    <col min="4" max="4" width="10.296875" style="15" customWidth="1"/>
    <col min="5" max="5" width="9.8046875" style="15" customWidth="1"/>
    <col min="6" max="6" width="8.703125" style="15" customWidth="1"/>
    <col min="7" max="9" width="10.171875" style="15" customWidth="1"/>
    <col min="10" max="10" width="9.8046875" style="15" customWidth="1"/>
    <col min="11" max="11" width="11.27734375" style="15" customWidth="1"/>
    <col min="12" max="12" width="9.8046875" style="15" customWidth="1"/>
    <col min="13" max="13" width="24.88671875" style="15" customWidth="1"/>
    <col min="14" max="15" width="10.91015625" style="15" customWidth="1"/>
  </cols>
  <sheetData>
    <row r="2" spans="2:15" ht="15" customHeight="1" x14ac:dyDescent="0.2">
      <c r="B2" s="125" t="str">
        <f>"Ratio Analysis -"&amp;'Data Sheet'!B1</f>
        <v>Ratio Analysis -NESTLE INDIA LTD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</row>
    <row r="3" spans="2:15" ht="15" customHeight="1" x14ac:dyDescent="0.2">
      <c r="B3" s="87" t="s">
        <v>334</v>
      </c>
      <c r="C3" s="88">
        <f>'Data Sheet'!B16</f>
        <v>43100</v>
      </c>
      <c r="D3" s="88">
        <f>'Data Sheet'!C16</f>
        <v>43465</v>
      </c>
      <c r="E3" s="88">
        <f>'Data Sheet'!D16</f>
        <v>43830</v>
      </c>
      <c r="F3" s="88">
        <f>'Data Sheet'!E16</f>
        <v>44196</v>
      </c>
      <c r="G3" s="88">
        <f>'Data Sheet'!F16</f>
        <v>44561</v>
      </c>
      <c r="H3" s="88">
        <f>'Data Sheet'!G16</f>
        <v>44926</v>
      </c>
      <c r="I3" s="88">
        <f>'Data Sheet'!H16</f>
        <v>45291</v>
      </c>
      <c r="J3" s="88">
        <f>'Data Sheet'!I16</f>
        <v>45382</v>
      </c>
      <c r="K3" s="88">
        <f>'Data Sheet'!J16</f>
        <v>45747</v>
      </c>
      <c r="L3" s="88">
        <f>'Data Sheet'!K16</f>
        <v>46112</v>
      </c>
      <c r="M3" s="89" t="s">
        <v>335</v>
      </c>
      <c r="N3" s="89" t="s">
        <v>336</v>
      </c>
      <c r="O3" s="89" t="s">
        <v>337</v>
      </c>
    </row>
    <row r="4" spans="2:15" ht="30" customHeight="1" x14ac:dyDescent="0.15">
      <c r="B4" s="124" t="s">
        <v>338</v>
      </c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</row>
    <row r="5" spans="2:15" ht="15" customHeight="1" x14ac:dyDescent="0.2">
      <c r="B5" s="90" t="s">
        <v>339</v>
      </c>
      <c r="C5" s="90"/>
      <c r="D5" s="91">
        <f>IFERROR('Historical FS'!D6/'Historical FS'!C6-1,0)</f>
        <v>0.12814398177749364</v>
      </c>
      <c r="E5" s="91">
        <f>IFERROR('Historical FS'!E6/'Historical FS'!D6-1,0)</f>
        <v>9.5342211973323376E-2</v>
      </c>
      <c r="F5" s="91">
        <f>IFERROR('Historical FS'!F6/'Historical FS'!E6-1,0)</f>
        <v>7.932233262456645E-2</v>
      </c>
      <c r="G5" s="91">
        <f>IFERROR('Historical FS'!G6/'Historical FS'!F6-1,0)</f>
        <v>0.10416156368187934</v>
      </c>
      <c r="H5" s="91">
        <f>IFERROR('Historical FS'!H6/'Historical FS'!G6-1,0)</f>
        <v>0.14628790299438488</v>
      </c>
      <c r="I5" s="91">
        <f>IFERROR('Historical FS'!I6/'Historical FS'!H6-1,0)</f>
        <v>0.13193734257523237</v>
      </c>
      <c r="J5" s="91">
        <f>IFERROR('Historical FS'!J6/'Historical FS'!I6-1,0)</f>
        <v>0.27541082174806419</v>
      </c>
      <c r="K5" s="91">
        <f>IFERROR('Historical FS'!K6/'Historical FS'!J6-1,0)</f>
        <v>-0.1718598386727167</v>
      </c>
      <c r="L5" s="91">
        <f>IFERROR('Historical FS'!L6/'Historical FS'!K6-1,0)</f>
        <v>0.14617880995329058</v>
      </c>
      <c r="M5" s="90"/>
      <c r="N5" s="91">
        <f>IFERROR(AVERAGE(D5:L5),0)</f>
        <v>0.10388056985061313</v>
      </c>
      <c r="O5" s="91">
        <f>IFERROR(MEDIAN(D5:L5),0)</f>
        <v>0.12814398177749364</v>
      </c>
    </row>
    <row r="6" spans="2:15" ht="15" customHeight="1" x14ac:dyDescent="0.2">
      <c r="B6" s="15" t="s">
        <v>340</v>
      </c>
      <c r="D6" s="24">
        <f>IFERROR('Historical FS'!D14/'Historical FS'!C14-1,0)</f>
        <v>0.24856310188740371</v>
      </c>
      <c r="E6" s="24">
        <f>IFERROR('Historical FS'!E14/'Historical FS'!D14-1,0)</f>
        <v>0.11775065421274755</v>
      </c>
      <c r="F6" s="24">
        <f>IFERROR('Historical FS'!F14/'Historical FS'!E14-1,0)</f>
        <v>9.4200719099895247E-2</v>
      </c>
      <c r="G6" s="24">
        <f>IFERROR('Historical FS'!G14/'Historical FS'!F14-1,0)</f>
        <v>0.11272840855848809</v>
      </c>
      <c r="H6" s="24">
        <f>IFERROR('Historical FS'!H14/'Historical FS'!G14-1,0)</f>
        <v>4.0391309229732109E-2</v>
      </c>
      <c r="I6" s="24">
        <f>IFERROR('Historical FS'!I14/'Historical FS'!H14-1,0)</f>
        <v>0.20632492330605601</v>
      </c>
      <c r="J6" s="24">
        <f>IFERROR('Historical FS'!J14/'Historical FS'!I14-1,0)</f>
        <v>0.30689623550936118</v>
      </c>
      <c r="K6" s="24">
        <f>IFERROR('Historical FS'!K14/'Historical FS'!J14-1,0)</f>
        <v>-0.18342768931666598</v>
      </c>
      <c r="L6" s="24">
        <f>IFERROR('Historical FS'!L14/'Historical FS'!K14-1,0)</f>
        <v>0.11226010357698968</v>
      </c>
      <c r="N6" s="24">
        <f>IFERROR(AVERAGE(D6:L6),0)</f>
        <v>0.11729864067377863</v>
      </c>
      <c r="O6" s="24">
        <f>IFERROR(MEDIAN(D6:L6),0)</f>
        <v>0.11272840855848809</v>
      </c>
    </row>
    <row r="7" spans="2:15" ht="15" customHeight="1" x14ac:dyDescent="0.2">
      <c r="B7" s="15" t="s">
        <v>341</v>
      </c>
      <c r="D7" s="24">
        <f>IFERROR('Historical FS'!D22/'Historical FS'!C22-1,0)</f>
        <v>0.32058391779481243</v>
      </c>
      <c r="E7" s="24">
        <f>IFERROR('Historical FS'!E22/'Historical FS'!D22-1,0)</f>
        <v>0.10067724737026218</v>
      </c>
      <c r="F7" s="24">
        <f>IFERROR('Historical FS'!F22/'Historical FS'!E22-1,0)</f>
        <v>5.2104178433433956E-2</v>
      </c>
      <c r="G7" s="24">
        <f>IFERROR('Historical FS'!G22/'Historical FS'!F22-1,0)</f>
        <v>1.5831256510439706E-2</v>
      </c>
      <c r="H7" s="24">
        <f>IFERROR('Historical FS'!H22/'Historical FS'!G22-1,0)</f>
        <v>0.13951884983130958</v>
      </c>
      <c r="I7" s="24">
        <f>IFERROR('Historical FS'!I22/'Historical FS'!H22-1,0)</f>
        <v>0.24027248408308499</v>
      </c>
      <c r="J7" s="24">
        <f>IFERROR('Historical FS'!J22/'Historical FS'!I22-1,0)</f>
        <v>0.30968058262284237</v>
      </c>
      <c r="K7" s="24">
        <f>IFERROR('Historical FS'!K22/'Historical FS'!J22-1,0)</f>
        <v>-0.15908880346841525</v>
      </c>
      <c r="L7" s="24">
        <f>IFERROR('Historical FS'!L22/'Historical FS'!K22-1,0)</f>
        <v>3.6465675991068425E-2</v>
      </c>
      <c r="N7" s="24">
        <f>IFERROR(AVERAGE(D7:L7),0)</f>
        <v>0.11733837657431538</v>
      </c>
      <c r="O7" s="24">
        <f>IFERROR(MEDIAN(D7:L7),0)</f>
        <v>0.10067724737026218</v>
      </c>
    </row>
    <row r="8" spans="2:15" ht="15" customHeight="1" x14ac:dyDescent="0.2">
      <c r="B8" s="15" t="s">
        <v>342</v>
      </c>
      <c r="D8" s="24">
        <f>IFERROR('Historical FS'!D26/'Historical FS'!C26-1,0)</f>
        <v>0.31157616369705843</v>
      </c>
      <c r="E8" s="24">
        <f>IFERROR('Historical FS'!E26/'Historical FS'!D26-1,0)</f>
        <v>0.22496935149633046</v>
      </c>
      <c r="F8" s="24">
        <f>IFERROR('Historical FS'!F26/'Historical FS'!E26-1,0)</f>
        <v>5.7908800877853217E-2</v>
      </c>
      <c r="G8" s="24">
        <f>IFERROR('Historical FS'!G26/'Historical FS'!F26-1,0)</f>
        <v>1.7277891693838532E-2</v>
      </c>
      <c r="H8" s="24">
        <f>IFERROR('Historical FS'!H26/'Historical FS'!G26-1,0)</f>
        <v>0.12845011116828076</v>
      </c>
      <c r="I8" s="24">
        <f>IFERROR('Historical FS'!I26/'Historical FS'!H26-1,0)</f>
        <v>0.25440071616217463</v>
      </c>
      <c r="J8" s="24">
        <f>IFERROR('Historical FS'!J26/'Historical FS'!I26-1,0)</f>
        <v>0.31152811079578546</v>
      </c>
      <c r="K8" s="24">
        <f>IFERROR('Historical FS'!K26/'Historical FS'!J26-1,0)</f>
        <v>-0.15722480446700038</v>
      </c>
      <c r="L8" s="24">
        <f>IFERROR('Historical FS'!L26/'Historical FS'!K26-1,0)</f>
        <v>6.9422235631316109E-2</v>
      </c>
      <c r="N8" s="24">
        <f>IFERROR(AVERAGE(D8:L8),0)</f>
        <v>0.13536761967284858</v>
      </c>
      <c r="O8" s="24">
        <f>IFERROR(MEDIAN(D8:L8),0)</f>
        <v>0.12845011116828076</v>
      </c>
    </row>
    <row r="9" spans="2:15" ht="15" customHeight="1" x14ac:dyDescent="0.2">
      <c r="B9" s="92" t="s">
        <v>343</v>
      </c>
      <c r="C9" s="92"/>
      <c r="D9" s="93">
        <f>IFERROR('Historical FS'!D33/'Historical FS'!C33-1,0)</f>
        <v>0.33721252758649767</v>
      </c>
      <c r="E9" s="93">
        <f>IFERROR('Historical FS'!E33/'Historical FS'!D33-1,0)</f>
        <v>1.9739094360722569</v>
      </c>
      <c r="F9" s="93">
        <f>IFERROR('Historical FS'!F33/'Historical FS'!E33-1,0)</f>
        <v>-0.41520396899525702</v>
      </c>
      <c r="G9" s="93">
        <f>IFERROR('Historical FS'!G33/'Historical FS'!F33-1,0)</f>
        <v>0</v>
      </c>
      <c r="H9" s="93">
        <f>IFERROR('Historical FS'!H33/'Historical FS'!G33-1,0)</f>
        <v>9.9999999999999867E-2</v>
      </c>
      <c r="I9" s="93">
        <f>IFERROR('Historical FS'!I33/'Historical FS'!H33-1,0)</f>
        <v>-0.20908996624615794</v>
      </c>
      <c r="J9" s="93">
        <f>IFERROR('Historical FS'!J33/'Historical FS'!I33-1,0)</f>
        <v>0.85028221538545989</v>
      </c>
      <c r="K9" s="93">
        <f>IFERROR('Historical FS'!K33/'Historical FS'!J33-1,0)</f>
        <v>-0.16148960292715597</v>
      </c>
      <c r="L9" s="93">
        <f>IFERROR('Historical FS'!L33/'Historical FS'!K33-1,0)</f>
        <v>-0.11115720574339116</v>
      </c>
      <c r="M9" s="92"/>
      <c r="N9" s="93">
        <f>IFERROR(AVERAGE(D9:L9),0)</f>
        <v>0.26271815945913912</v>
      </c>
      <c r="O9" s="93">
        <f>IFERROR(MEDIAN(D9:L9),0)</f>
        <v>0</v>
      </c>
    </row>
    <row r="10" spans="2:15" ht="15" customHeight="1" x14ac:dyDescent="0.2">
      <c r="C10" s="24"/>
      <c r="N10" s="24"/>
      <c r="O10" s="24"/>
    </row>
    <row r="11" spans="2:15" ht="15" customHeight="1" x14ac:dyDescent="0.2">
      <c r="B11" s="90" t="s">
        <v>344</v>
      </c>
      <c r="C11" s="91">
        <f>IFERROR('Historical FS'!C11,0)</f>
        <v>0.41844229539641958</v>
      </c>
      <c r="D11" s="91">
        <f>IFERROR('Historical FS'!D11,0)</f>
        <v>0.44728562104873515</v>
      </c>
      <c r="E11" s="91">
        <f>IFERROR('Historical FS'!E11,0)</f>
        <v>0.43374350184737526</v>
      </c>
      <c r="F11" s="91">
        <f>IFERROR('Historical FS'!F11,0)</f>
        <v>0.42416608801628164</v>
      </c>
      <c r="G11" s="91">
        <f>IFERROR('Historical FS'!G11,0)</f>
        <v>0.42192612371689331</v>
      </c>
      <c r="H11" s="91">
        <f>IFERROR('Historical FS'!H11,0)</f>
        <v>0.3950568622994905</v>
      </c>
      <c r="I11" s="91">
        <f>IFERROR('Historical FS'!I11,0)</f>
        <v>0.46242137789326737</v>
      </c>
      <c r="J11" s="91">
        <f>IFERROR('Historical FS'!J11,0)</f>
        <v>0.42191589779243893</v>
      </c>
      <c r="K11" s="91">
        <f>IFERROR('Historical FS'!K11,0)</f>
        <v>0.42119024471377459</v>
      </c>
      <c r="L11" s="91">
        <f>IFERROR('Historical FS'!L11,0)</f>
        <v>0.41144999265804633</v>
      </c>
      <c r="M11" s="94"/>
      <c r="N11" s="95">
        <f>IFERROR(AVERAGE(D11:L11),0)</f>
        <v>0.42657285666514477</v>
      </c>
      <c r="O11" s="95">
        <f>IFERROR(MEDIAN(D11:L11),0)</f>
        <v>0.42192612371689331</v>
      </c>
    </row>
    <row r="12" spans="2:15" ht="15" customHeight="1" x14ac:dyDescent="0.2">
      <c r="B12" s="15" t="s">
        <v>345</v>
      </c>
      <c r="C12" s="24">
        <f>IFERROR('Historical FS'!C15,0)</f>
        <v>0.20945192615089528</v>
      </c>
      <c r="D12" s="24">
        <f>IFERROR('Historical FS'!D15,0)</f>
        <v>0.23180901625625322</v>
      </c>
      <c r="E12" s="24">
        <f>IFERROR('Historical FS'!E15,0)</f>
        <v>0.23655135056472276</v>
      </c>
      <c r="F12" s="24">
        <f>IFERROR('Historical FS'!F15,0)</f>
        <v>0.23981219517858768</v>
      </c>
      <c r="G12" s="24">
        <f>IFERROR('Historical FS'!G15,0)</f>
        <v>0.24167282313665875</v>
      </c>
      <c r="H12" s="24">
        <f>IFERROR('Historical FS'!H15,0)</f>
        <v>0.21934655701380593</v>
      </c>
      <c r="I12" s="24">
        <f>IFERROR('Historical FS'!I15,0)</f>
        <v>0.23376136524053268</v>
      </c>
      <c r="J12" s="24">
        <f>IFERROR('Historical FS'!J15,0)</f>
        <v>0.23953211234452554</v>
      </c>
      <c r="K12" s="24">
        <f>IFERROR('Historical FS'!K15,0)</f>
        <v>0.23618621532198505</v>
      </c>
      <c r="L12" s="24">
        <f>IFERROR('Historical FS'!L15,0)</f>
        <v>0.22919679027061576</v>
      </c>
      <c r="N12" s="24">
        <f>IFERROR(AVERAGE(D12:L12),0)</f>
        <v>0.23420760281418745</v>
      </c>
      <c r="O12" s="24">
        <f>IFERROR(MEDIAN(D12:L12),0)</f>
        <v>0.23618621532198505</v>
      </c>
    </row>
    <row r="13" spans="2:15" ht="15" customHeight="1" x14ac:dyDescent="0.2">
      <c r="B13" s="15" t="s">
        <v>346</v>
      </c>
      <c r="C13" s="24">
        <f>IFERROR(('Historical FS'!C14-'Historical FS'!C18)/'Historical FS'!C6,)</f>
        <v>0.17525975063938634</v>
      </c>
      <c r="D13" s="24">
        <f>IFERROR(('Historical FS'!D14-'Historical FS'!D18)/'Historical FS'!D6,)</f>
        <v>0.2020833720766507</v>
      </c>
      <c r="E13" s="24">
        <f>IFERROR(('Historical FS'!E14-'Historical FS'!E18)/'Historical FS'!E6,)</f>
        <v>0.20662548811939616</v>
      </c>
      <c r="F13" s="24">
        <f>IFERROR(('Historical FS'!F14-'Historical FS'!F18)/'Historical FS'!F6,)</f>
        <v>0.2120684372993919</v>
      </c>
      <c r="G13" s="24">
        <f>IFERROR(('Historical FS'!G14-'Historical FS'!G18)/'Historical FS'!G6,)</f>
        <v>0.21514606945854953</v>
      </c>
      <c r="H13" s="24">
        <f>IFERROR(('Historical FS'!H14-'Historical FS'!H18)/'Historical FS'!H6,)</f>
        <v>0.19549552108781687</v>
      </c>
      <c r="I13" s="24">
        <f>IFERROR(('Historical FS'!I14-'Historical FS'!I18)/'Historical FS'!I6,)</f>
        <v>0.21133622289726711</v>
      </c>
      <c r="J13" s="24">
        <f>IFERROR(('Historical FS'!J14-'Historical FS'!J18)/'Historical FS'!J6,)</f>
        <v>0.21625784161525685</v>
      </c>
      <c r="K13" s="24">
        <f>IFERROR(('Historical FS'!K14-'Historical FS'!K18)/'Historical FS'!K6,)</f>
        <v>0.20945956648892464</v>
      </c>
      <c r="L13" s="24">
        <f>IFERROR(('Historical FS'!L14-'Historical FS'!L18)/'Historical FS'!L6,)</f>
        <v>0.19899847114612215</v>
      </c>
      <c r="N13" s="24">
        <f>IFERROR(AVERAGE(D13:L13),0)</f>
        <v>0.20749677668770844</v>
      </c>
      <c r="O13" s="24">
        <f>IFERROR(MEDIAN(D13:L13),0)</f>
        <v>0.20945956648892464</v>
      </c>
    </row>
    <row r="14" spans="2:15" ht="15" customHeight="1" x14ac:dyDescent="0.2">
      <c r="B14" s="15" t="s">
        <v>347</v>
      </c>
      <c r="C14" s="24">
        <f>IFERROR('Historical FS'!C23,0)</f>
        <v>0.18375359654731471</v>
      </c>
      <c r="D14" s="24">
        <f>IFERROR('Historical FS'!D23,0)</f>
        <v>0.21509847001532911</v>
      </c>
      <c r="E14" s="24">
        <f>IFERROR('Historical FS'!E23,0)</f>
        <v>0.21614614072391233</v>
      </c>
      <c r="F14" s="24">
        <f>IFERROR('Historical FS'!F23,0)</f>
        <v>0.2106954066769888</v>
      </c>
      <c r="G14" s="24">
        <f>IFERROR('Historical FS'!G23,0)</f>
        <v>0.19384027369325113</v>
      </c>
      <c r="H14" s="24">
        <f>IFERROR('Historical FS'!H23,0)</f>
        <v>0.19269560915099512</v>
      </c>
      <c r="I14" s="24">
        <f>IFERROR('Historical FS'!I23,0)</f>
        <v>0.21113806643208566</v>
      </c>
      <c r="J14" s="24">
        <f>IFERROR('Historical FS'!J23,0)</f>
        <v>0.21681125888490921</v>
      </c>
      <c r="K14" s="24">
        <f>IFERROR('Historical FS'!K23,0)</f>
        <v>0.22015478012589132</v>
      </c>
      <c r="L14" s="24">
        <f>IFERROR('Historical FS'!L23,0)</f>
        <v>0.19908139203441214</v>
      </c>
      <c r="N14" s="24">
        <f>IFERROR(AVERAGE(D14:L14),0)</f>
        <v>0.20840682197086385</v>
      </c>
      <c r="O14" s="24">
        <f>IFERROR(MEDIAN(D14:L14),0)</f>
        <v>0.21113806643208566</v>
      </c>
    </row>
    <row r="15" spans="2:15" ht="15" customHeight="1" x14ac:dyDescent="0.2">
      <c r="B15" s="92" t="s">
        <v>348</v>
      </c>
      <c r="C15" s="93">
        <f>IFERROR('Historical FS'!C27,0)</f>
        <v>0.12240149456521753</v>
      </c>
      <c r="D15" s="93">
        <f>IFERROR('Historical FS'!D27,0)</f>
        <v>0.14230354038647683</v>
      </c>
      <c r="E15" s="93">
        <f>IFERROR('Historical FS'!E27,0)</f>
        <v>0.15914430547583047</v>
      </c>
      <c r="F15" s="93">
        <f>IFERROR('Historical FS'!F27,0)</f>
        <v>0.15598691538520892</v>
      </c>
      <c r="G15" s="93">
        <f>IFERROR('Historical FS'!G27,0)</f>
        <v>0.14371270078063367</v>
      </c>
      <c r="H15" s="93">
        <f>IFERROR('Historical FS'!H27,0)</f>
        <v>0.14147633657178563</v>
      </c>
      <c r="I15" s="93">
        <f>IFERROR('Historical FS'!I27,0)</f>
        <v>0.15678254550017517</v>
      </c>
      <c r="J15" s="93">
        <f>IFERROR('Historical FS'!J27,0)</f>
        <v>0.16122233887256188</v>
      </c>
      <c r="K15" s="93">
        <f>IFERROR('Historical FS'!K27,0)</f>
        <v>0.16407148754848638</v>
      </c>
      <c r="L15" s="93">
        <f>IFERROR('Historical FS'!L27,0)</f>
        <v>0.15308405241291143</v>
      </c>
      <c r="M15" s="96"/>
      <c r="N15" s="97">
        <f>IFERROR(AVERAGE(D15:L15),0)</f>
        <v>0.15308713588156336</v>
      </c>
      <c r="O15" s="97">
        <f>IFERROR(MEDIAN(D15:L15),0)</f>
        <v>0.15598691538520892</v>
      </c>
    </row>
    <row r="16" spans="2:15" ht="15" customHeight="1" x14ac:dyDescent="0.2">
      <c r="C16" s="24"/>
      <c r="N16" s="24"/>
      <c r="O16" s="24"/>
    </row>
    <row r="17" spans="2:15" ht="15" customHeight="1" x14ac:dyDescent="0.2">
      <c r="B17" s="90" t="s">
        <v>349</v>
      </c>
      <c r="C17" s="91">
        <f>IFERROR('Historical FS'!C12/'Historical FS'!C6,0)</f>
        <v>0.20899036924552428</v>
      </c>
      <c r="D17" s="91">
        <f>IFERROR('Historical FS'!D12/'Historical FS'!D6,0)</f>
        <v>0.21547660479248196</v>
      </c>
      <c r="E17" s="91">
        <f>IFERROR('Historical FS'!E12/'Historical FS'!E6,0)</f>
        <v>0.19719215128265247</v>
      </c>
      <c r="F17" s="91">
        <f>IFERROR('Historical FS'!F12/'Historical FS'!F6,0)</f>
        <v>0.18435389283769399</v>
      </c>
      <c r="G17" s="91">
        <f>IFERROR('Historical FS'!G12/'Historical FS'!G6,0)</f>
        <v>0.18025330058023456</v>
      </c>
      <c r="H17" s="91">
        <f>IFERROR('Historical FS'!H12/'Historical FS'!H6,0)</f>
        <v>0.17571030528568454</v>
      </c>
      <c r="I17" s="91">
        <f>IFERROR('Historical FS'!I12/'Historical FS'!I6,0)</f>
        <v>0.22866001265273472</v>
      </c>
      <c r="J17" s="91">
        <f>IFERROR('Historical FS'!J12/'Historical FS'!J6,0)</f>
        <v>0.18238378544791339</v>
      </c>
      <c r="K17" s="91">
        <f>IFERROR('Historical FS'!K12/'Historical FS'!K6,0)</f>
        <v>0.18500402939178953</v>
      </c>
      <c r="L17" s="91">
        <f>IFERROR('Historical FS'!L12/'Historical FS'!L6,0)</f>
        <v>0.18225320238743059</v>
      </c>
      <c r="M17" s="90"/>
      <c r="N17" s="91">
        <f>IFERROR(AVERAGE(D17:L17),0)</f>
        <v>0.19236525385095732</v>
      </c>
      <c r="O17" s="91">
        <f>IFERROR(MEDIAN(D17:L17),0)</f>
        <v>0.18435389283769399</v>
      </c>
    </row>
    <row r="18" spans="2:15" ht="15" customHeight="1" x14ac:dyDescent="0.2">
      <c r="B18" s="15" t="s">
        <v>350</v>
      </c>
      <c r="C18" s="24">
        <f>IFERROR('Historical FS'!C19,0)</f>
        <v>3.4192175511508952E-2</v>
      </c>
      <c r="D18" s="24">
        <f>IFERROR('Historical FS'!D19,0)</f>
        <v>2.9725644179602505E-2</v>
      </c>
      <c r="E18" s="24">
        <f>IFERROR('Historical FS'!E19,0)</f>
        <v>2.9925862445326586E-2</v>
      </c>
      <c r="F18" s="24">
        <f>IFERROR('Historical FS'!F19,0)</f>
        <v>2.7743757879195776E-2</v>
      </c>
      <c r="G18" s="24">
        <f>IFERROR('Historical FS'!G19,0)</f>
        <v>2.6526753678109218E-2</v>
      </c>
      <c r="H18" s="24">
        <f>IFERROR('Historical FS'!H19,0)</f>
        <v>2.3851035925989056E-2</v>
      </c>
      <c r="I18" s="24">
        <f>IFERROR('Historical FS'!I19,0)</f>
        <v>2.2425142343265557E-2</v>
      </c>
      <c r="J18" s="24">
        <f>IFERROR('Historical FS'!J19,0)</f>
        <v>2.3274270729268683E-2</v>
      </c>
      <c r="K18" s="24">
        <f>IFERROR('Historical FS'!K19,0)</f>
        <v>2.6726648833060414E-2</v>
      </c>
      <c r="L18" s="24">
        <f>IFERROR('Historical FS'!L19,0)</f>
        <v>3.0198319124493625E-2</v>
      </c>
      <c r="N18" s="24">
        <f>IFERROR(AVERAGE(D18:L18),0)</f>
        <v>2.6710826126479053E-2</v>
      </c>
      <c r="O18" s="24">
        <f>IFERROR(MEDIAN(D18:L18),0)</f>
        <v>2.6726648833060414E-2</v>
      </c>
    </row>
    <row r="19" spans="2:15" ht="15" customHeight="1" x14ac:dyDescent="0.2">
      <c r="B19" s="92" t="s">
        <v>351</v>
      </c>
      <c r="C19" s="93">
        <f>IFERROR('Ratio analysis'!C13,0)</f>
        <v>0.17525975063938634</v>
      </c>
      <c r="D19" s="93">
        <f>IFERROR('Ratio analysis'!D13,0)</f>
        <v>0.2020833720766507</v>
      </c>
      <c r="E19" s="93">
        <f>IFERROR('Ratio analysis'!E13,0)</f>
        <v>0.20662548811939616</v>
      </c>
      <c r="F19" s="93">
        <f>IFERROR('Ratio analysis'!F13,0)</f>
        <v>0.2120684372993919</v>
      </c>
      <c r="G19" s="93">
        <f>IFERROR('Ratio analysis'!G13,0)</f>
        <v>0.21514606945854953</v>
      </c>
      <c r="H19" s="93">
        <f>IFERROR('Ratio analysis'!H13,0)</f>
        <v>0.19549552108781687</v>
      </c>
      <c r="I19" s="93">
        <f>IFERROR('Ratio analysis'!I13,0)</f>
        <v>0.21133622289726711</v>
      </c>
      <c r="J19" s="93">
        <f>IFERROR('Ratio analysis'!J13,0)</f>
        <v>0.21625784161525685</v>
      </c>
      <c r="K19" s="93">
        <f>IFERROR('Ratio analysis'!K13,0)</f>
        <v>0.20945956648892464</v>
      </c>
      <c r="L19" s="93">
        <f>IFERROR('Ratio analysis'!L13,0)</f>
        <v>0.19899847114612215</v>
      </c>
      <c r="M19" s="92"/>
      <c r="N19" s="93">
        <f>IFERROR(AVERAGE(D19:L19),0)</f>
        <v>0.20749677668770844</v>
      </c>
      <c r="O19" s="93">
        <f>IFERROR(MEDIAN(D19:L19),0)</f>
        <v>0.20945956648892464</v>
      </c>
    </row>
    <row r="20" spans="2:15" ht="15" customHeight="1" x14ac:dyDescent="0.2">
      <c r="C20" s="24"/>
      <c r="N20" s="24"/>
      <c r="O20" s="24"/>
    </row>
    <row r="21" spans="2:15" ht="15.75" customHeight="1" x14ac:dyDescent="0.2">
      <c r="B21" s="90" t="s">
        <v>352</v>
      </c>
      <c r="C21" s="91">
        <f>IFERROR(('Historical FS'!C14-'Historical FS'!C18)/SUM('Historical FS'!C39:C41),0)</f>
        <v>0.50764382634060001</v>
      </c>
      <c r="D21" s="91">
        <f>IFERROR(('Historical FS'!D14-'Historical FS'!D18)/SUM('Historical FS'!D39:D41),0)</f>
        <v>0.6152746920903347</v>
      </c>
      <c r="E21" s="91">
        <f>IFERROR(('Historical FS'!E14-'Historical FS'!E18)/SUM('Historical FS'!E39:E41),0)</f>
        <v>1.2125049221704041</v>
      </c>
      <c r="F21" s="91">
        <f>IFERROR(('Historical FS'!F14-'Historical FS'!F18)/SUM('Historical FS'!F39:F41),0)</f>
        <v>1.3065722737824383</v>
      </c>
      <c r="G21" s="91">
        <f>IFERROR(('Historical FS'!G14-'Historical FS'!G18)/SUM('Historical FS'!G39:G41),0)</f>
        <v>1.4331718515572749</v>
      </c>
      <c r="H21" s="91">
        <f>IFERROR(('Historical FS'!H14-'Historical FS'!H18)/SUM('Historical FS'!H39:H41),0)</f>
        <v>1.2101300880319736</v>
      </c>
      <c r="I21" s="91">
        <f>IFERROR(('Historical FS'!I14-'Historical FS'!I18)/SUM('Historical FS'!I39:I41),0)</f>
        <v>1.4807835321959635</v>
      </c>
      <c r="J21" s="91">
        <f>IFERROR(('Historical FS'!J14-'Historical FS'!J18)/SUM('Historical FS'!J39:J41),0)</f>
        <v>1.4314162293578474</v>
      </c>
      <c r="K21" s="91">
        <f>IFERROR(('Historical FS'!K14-'Historical FS'!K18)/SUM('Historical FS'!K39:K41),0)</f>
        <v>0.80079674489023478</v>
      </c>
      <c r="L21" s="91">
        <f>IFERROR(('Historical FS'!L14-'Historical FS'!L18)/SUM('Historical FS'!L39:L41),0)</f>
        <v>0.80087078944624046</v>
      </c>
      <c r="M21" s="90"/>
      <c r="N21" s="91">
        <f>IFERROR(AVERAGE(D21:L21),0)</f>
        <v>1.143502347058079</v>
      </c>
      <c r="O21" s="91">
        <f>IFERROR(MEDIAN(D21:L21),0)</f>
        <v>1.2125049221704041</v>
      </c>
    </row>
    <row r="22" spans="2:15" ht="15.75" customHeight="1" x14ac:dyDescent="0.2">
      <c r="B22" s="15" t="s">
        <v>353</v>
      </c>
      <c r="C22" s="24">
        <f>IFERROR('Historical FS'!C35,0)</f>
        <v>0.32319885079049038</v>
      </c>
      <c r="D22" s="24">
        <f>IFERROR('Historical FS'!D35,0)</f>
        <v>0.30996994268574274</v>
      </c>
      <c r="E22" s="24">
        <f>IFERROR('Historical FS'!E35,0)</f>
        <v>0</v>
      </c>
      <c r="F22" s="24">
        <f>IFERROR('Historical FS'!F35,0)</f>
        <v>7.3966471862199845E-2</v>
      </c>
      <c r="G22" s="24">
        <f>IFERROR('Historical FS'!G35,0)</f>
        <v>8.9694629462663267E-2</v>
      </c>
      <c r="H22" s="24">
        <f>IFERROR('Historical FS'!H35,0)</f>
        <v>0.11264494754279353</v>
      </c>
      <c r="I22" s="24">
        <f>IFERROR('Historical FS'!I35,0)</f>
        <v>0.44051529511416732</v>
      </c>
      <c r="J22" s="24">
        <f>IFERROR('Historical FS'!J35,0)</f>
        <v>0.21056539294758969</v>
      </c>
      <c r="K22" s="24">
        <f>IFERROR('Historical FS'!K35,0)</f>
        <v>0.21456026550007568</v>
      </c>
      <c r="L22" s="24">
        <f>IFERROR('Historical FS'!L35,0)</f>
        <v>0.34718727077808464</v>
      </c>
      <c r="N22" s="24">
        <f>IFERROR(AVERAGE(D22:L22),0)</f>
        <v>0.19990046843259077</v>
      </c>
      <c r="O22" s="24">
        <f>IFERROR(MEDIAN(D22:L22),0)</f>
        <v>0.21056539294758969</v>
      </c>
    </row>
    <row r="23" spans="2:15" ht="15.75" customHeight="1" x14ac:dyDescent="0.2">
      <c r="B23" s="15" t="s">
        <v>354</v>
      </c>
      <c r="C23" s="24">
        <f>IFERROR('Historical FS'!C26/SUM('Historical FS'!C39:C40),)</f>
        <v>0.35818089861690566</v>
      </c>
      <c r="D23" s="24">
        <f>IFERROR('Historical FS'!D26/SUM('Historical FS'!D39:D40),)</f>
        <v>0.43740983303118908</v>
      </c>
      <c r="E23" s="24">
        <f>IFERROR('Historical FS'!E26/SUM('Historical FS'!E39:E40),)</f>
        <v>1.0258329120784624</v>
      </c>
      <c r="F23" s="24">
        <f>IFERROR('Historical FS'!F26/SUM('Historical FS'!F39:F40),)</f>
        <v>1.031242881337467</v>
      </c>
      <c r="G23" s="24">
        <f>IFERROR('Historical FS'!G26/SUM('Historical FS'!G39:G40),)</f>
        <v>1.0883845908815342</v>
      </c>
      <c r="H23" s="24">
        <f>IFERROR('Historical FS'!H26/SUM('Historical FS'!H39:H40),)</f>
        <v>0.97208407714798029</v>
      </c>
      <c r="I23" s="24">
        <f>IFERROR('Historical FS'!I26/SUM('Historical FS'!I39:I40),)</f>
        <v>1.2193829625442731</v>
      </c>
      <c r="J23" s="24">
        <f>IFERROR('Historical FS'!J26/SUM('Historical FS'!J39:J40),)</f>
        <v>1.1771833254013149</v>
      </c>
      <c r="K23" s="24">
        <f>IFERROR('Historical FS'!K26/SUM('Historical FS'!K39:K40),)</f>
        <v>0.80504718069538428</v>
      </c>
      <c r="L23" s="24">
        <f>IFERROR('Historical FS'!L26/SUM('Historical FS'!L39:L40),)</f>
        <v>0.66762851180206562</v>
      </c>
      <c r="N23" s="24">
        <f>IFERROR(AVERAGE(D23:L23),0)</f>
        <v>0.93602180832440796</v>
      </c>
      <c r="O23" s="24">
        <f>IFERROR(MEDIAN(D23:L23),0)</f>
        <v>1.0258329120784624</v>
      </c>
    </row>
    <row r="24" spans="2:15" ht="15.75" customHeight="1" x14ac:dyDescent="0.2">
      <c r="B24" s="15" t="s">
        <v>355</v>
      </c>
      <c r="C24" s="24">
        <f>C22*C23</f>
        <v>0.11576365480808905</v>
      </c>
      <c r="D24" s="24">
        <f>D22*D23</f>
        <v>0.13558390087485797</v>
      </c>
      <c r="E24" s="24">
        <f>E22*E23</f>
        <v>0</v>
      </c>
      <c r="F24" s="24">
        <f>F22*F23</f>
        <v>7.6277397565541652E-2</v>
      </c>
      <c r="G24" s="24">
        <f>G22*G23</f>
        <v>9.762225259199156E-2</v>
      </c>
      <c r="H24" s="24">
        <f>H22*H23</f>
        <v>0.10950035987751909</v>
      </c>
      <c r="I24" s="24">
        <f>I22*I23</f>
        <v>0.53715684560237809</v>
      </c>
      <c r="J24" s="24">
        <f>J22*J23</f>
        <v>0.24787406948447821</v>
      </c>
      <c r="K24" s="24">
        <f>K22*K23</f>
        <v>0.17273113683008906</v>
      </c>
      <c r="L24" s="24">
        <f>L22*L23</f>
        <v>0.23179212090619344</v>
      </c>
      <c r="N24" s="24">
        <f>IFERROR(AVERAGE(D24:L24),0)</f>
        <v>0.17872645374811655</v>
      </c>
      <c r="O24" s="24">
        <f>IFERROR(MEDIAN(D24:L24),0)</f>
        <v>0.13558390087485797</v>
      </c>
    </row>
    <row r="25" spans="2:15" ht="15.75" customHeight="1" x14ac:dyDescent="0.2">
      <c r="B25" s="92" t="s">
        <v>356</v>
      </c>
      <c r="C25" s="98">
        <f>IFERROR(('Historical FS'!C14-'Historical FS'!C18)/'Historical FS'!C20,0)</f>
        <v>19.089009793253553</v>
      </c>
      <c r="D25" s="98">
        <f>IFERROR(('Historical FS'!D14-'Historical FS'!D18)/'Historical FS'!D20,0)</f>
        <v>20.383921393479234</v>
      </c>
      <c r="E25" s="98">
        <f>IFERROR(('Historical FS'!E14-'Historical FS'!E18)/'Historical FS'!E20,0)</f>
        <v>19.793447955390327</v>
      </c>
      <c r="F25" s="98">
        <f>IFERROR(('Historical FS'!F14-'Historical FS'!F18)/'Historical FS'!F20,0)</f>
        <v>17.244000487270075</v>
      </c>
      <c r="G25" s="98">
        <f>IFERROR(('Historical FS'!G14-'Historical FS'!G18)/'Historical FS'!G20,0)</f>
        <v>15.724811582705279</v>
      </c>
      <c r="H25" s="98">
        <f>IFERROR(('Historical FS'!H14-'Historical FS'!H18)/'Historical FS'!H20,0)</f>
        <v>21.370770524681362</v>
      </c>
      <c r="I25" s="98">
        <f>IFERROR(('Historical FS'!I14-'Historical FS'!I18)/'Historical FS'!I20,0)</f>
        <v>33.884483192220635</v>
      </c>
      <c r="J25" s="98">
        <f>IFERROR(('Historical FS'!J14-'Historical FS'!J18)/'Historical FS'!J20,0)</f>
        <v>36.259330538181302</v>
      </c>
      <c r="K25" s="98">
        <f>IFERROR(('Historical FS'!K14-'Historical FS'!K18)/'Historical FS'!K20,0)</f>
        <v>31.113308823529419</v>
      </c>
      <c r="L25" s="98">
        <f>IFERROR(('Historical FS'!L14-'Historical FS'!L18)/'Historical FS'!L20,0)</f>
        <v>29.105741898806137</v>
      </c>
      <c r="M25" s="92"/>
      <c r="N25" s="98">
        <f>IFERROR(AVERAGE(D25:L25),0)</f>
        <v>24.98664626625153</v>
      </c>
      <c r="O25" s="98">
        <f>IFERROR(MEDIAN(D25:L25),0)</f>
        <v>21.370770524681362</v>
      </c>
    </row>
    <row r="26" spans="2:15" ht="15.75" customHeight="1" x14ac:dyDescent="0.2">
      <c r="C26" s="24"/>
      <c r="N26" s="24"/>
      <c r="O26" s="24"/>
    </row>
    <row r="27" spans="2:15" ht="15.75" customHeight="1" x14ac:dyDescent="0.2">
      <c r="B27" s="90" t="s">
        <v>357</v>
      </c>
      <c r="C27" s="99">
        <f>IFERROR('Historical FS'!C6/'Historical FS'!C51,0)</f>
        <v>112.50533887827358</v>
      </c>
      <c r="D27" s="99">
        <f>IFERROR('Historical FS'!D6/'Historical FS'!D51,0)</f>
        <v>90.635444257163499</v>
      </c>
      <c r="E27" s="99">
        <f>IFERROR('Historical FS'!E6/'Historical FS'!E51,0)</f>
        <v>99.484436580069172</v>
      </c>
      <c r="F27" s="99">
        <f>IFERROR('Historical FS'!F6/'Historical FS'!F51,0)</f>
        <v>80.943612441641903</v>
      </c>
      <c r="G27" s="99">
        <f>IFERROR('Historical FS'!G6/'Historical FS'!G51,0)</f>
        <v>88.814785804663501</v>
      </c>
      <c r="H27" s="99">
        <f>IFERROR('Historical FS'!H6/'Historical FS'!H51,0)</f>
        <v>88.055448433998649</v>
      </c>
      <c r="I27" s="99">
        <f>IFERROR('Historical FS'!I6/'Historical FS'!I51,0)</f>
        <v>99.673250299650846</v>
      </c>
      <c r="J27" s="99">
        <f>IFERROR('Historical FS'!J6/'Historical FS'!J51,0)</f>
        <v>81.188477667576393</v>
      </c>
      <c r="K27" s="99">
        <f>IFERROR('Historical FS'!K6/'Historical FS'!K51,0)</f>
        <v>55.628693377392267</v>
      </c>
      <c r="L27" s="99">
        <f>IFERROR('Historical FS'!L6/'Historical FS'!L51,0)</f>
        <v>70.278325795975348</v>
      </c>
      <c r="M27" s="90"/>
      <c r="N27" s="99">
        <f>IFERROR(AVERAGE(D27:L27),0)</f>
        <v>83.855830517570169</v>
      </c>
      <c r="O27" s="99">
        <f>IFERROR(MEDIAN(D27:L27),0)</f>
        <v>88.055448433998649</v>
      </c>
    </row>
    <row r="28" spans="2:15" ht="15.75" customHeight="1" x14ac:dyDescent="0.2">
      <c r="B28" s="15" t="s">
        <v>358</v>
      </c>
      <c r="C28" s="100">
        <f>IFERROR('Historical FS'!C6/'Historical FS'!C41,0)</f>
        <v>284.84917472965282</v>
      </c>
      <c r="D28" s="100">
        <f>IFERROR('Historical FS'!D6/'Historical FS'!D41,0)</f>
        <v>321.35088218554353</v>
      </c>
      <c r="E28" s="100">
        <f>IFERROR('Historical FS'!E6/'Historical FS'!E41,0)</f>
        <v>65.464697787657457</v>
      </c>
      <c r="F28" s="100">
        <f>IFERROR('Historical FS'!F6/'Historical FS'!F41,0)</f>
        <v>90.514814563699233</v>
      </c>
      <c r="G28" s="100">
        <f>IFERROR('Historical FS'!G6/'Historical FS'!G41,0)</f>
        <v>55.3200855663139</v>
      </c>
      <c r="H28" s="100">
        <f>IFERROR('Historical FS'!H6/'Historical FS'!H41,0)</f>
        <v>62.461038000887179</v>
      </c>
      <c r="I28" s="100">
        <f>IFERROR('Historical FS'!I6/'Historical FS'!I41,0)</f>
        <v>70.701981369214849</v>
      </c>
      <c r="J28" s="100">
        <f>IFERROR('Historical FS'!J6/'Historical FS'!J41,0)</f>
        <v>70.803384320668741</v>
      </c>
      <c r="K28" s="100">
        <f>IFERROR('Historical FS'!K6/'Historical FS'!K41,0)</f>
        <v>17.312902258216567</v>
      </c>
      <c r="L28" s="100">
        <f>IFERROR('Historical FS'!L6/'Historical FS'!L41,0)</f>
        <v>52.13121397694524</v>
      </c>
      <c r="N28" s="100">
        <f>IFERROR(AVERAGE(D28:L28),0)</f>
        <v>89.562333336571854</v>
      </c>
      <c r="O28" s="100">
        <f>IFERROR(MEDIAN(D28:L28),0)</f>
        <v>65.464697787657457</v>
      </c>
    </row>
    <row r="29" spans="2:15" ht="15.75" customHeight="1" x14ac:dyDescent="0.2">
      <c r="B29" s="15" t="s">
        <v>359</v>
      </c>
      <c r="C29" s="100">
        <f>IFERROR('Historical FS'!C6/'Historical FS'!C52,0)</f>
        <v>11.091338216228795</v>
      </c>
      <c r="D29" s="100">
        <f>IFERROR('Historical FS'!D6/'Historical FS'!D52,0)</f>
        <v>11.695168556781111</v>
      </c>
      <c r="E29" s="100">
        <f>IFERROR('Historical FS'!E6/'Historical FS'!E52,0)</f>
        <v>9.6400819908500708</v>
      </c>
      <c r="F29" s="100">
        <f>IFERROR('Historical FS'!F6/'Historical FS'!F52,0)</f>
        <v>9.4247924432395802</v>
      </c>
      <c r="G29" s="100">
        <f>IFERROR('Historical FS'!G6/'Historical FS'!G52,0)</f>
        <v>9.2553856779581203</v>
      </c>
      <c r="H29" s="100">
        <f>IFERROR('Historical FS'!H6/'Historical FS'!H52,0)</f>
        <v>8.760484661208956</v>
      </c>
      <c r="I29" s="100">
        <f>IFERROR('Historical FS'!I6/'Historical FS'!I52,0)</f>
        <v>9.9163197270799515</v>
      </c>
      <c r="J29" s="100">
        <f>IFERROR('Historical FS'!J6/'Historical FS'!J52,0)</f>
        <v>11.67529291266225</v>
      </c>
      <c r="K29" s="100">
        <f>IFERROR('Historical FS'!K6/'Historical FS'!K52,0)</f>
        <v>7.0879184882146147</v>
      </c>
      <c r="L29" s="100">
        <f>IFERROR('Historical FS'!L6/'Historical FS'!L52,0)</f>
        <v>9.0123072372159641</v>
      </c>
      <c r="N29" s="100">
        <f>IFERROR(AVERAGE(D29:L29),0)</f>
        <v>9.6075279661345139</v>
      </c>
      <c r="O29" s="100">
        <f>IFERROR(MEDIAN(D29:L29),0)</f>
        <v>9.4247924432395802</v>
      </c>
    </row>
    <row r="30" spans="2:15" ht="15.75" customHeight="1" x14ac:dyDescent="0.2">
      <c r="B30" s="15" t="s">
        <v>360</v>
      </c>
      <c r="C30" s="100">
        <f>IFERROR('Historical FS'!C6/'Historical FS'!C45,0)</f>
        <v>3.8260364348018872</v>
      </c>
      <c r="D30" s="100">
        <f>IFERROR('Historical FS'!D6/'Historical FS'!D45,0)</f>
        <v>4.7038973265239816</v>
      </c>
      <c r="E30" s="100">
        <f>IFERROR('Historical FS'!E6/'Historical FS'!E45,0)</f>
        <v>5.2825813064554019</v>
      </c>
      <c r="F30" s="100">
        <f>IFERROR('Historical FS'!F6/'Historical FS'!F45,0)</f>
        <v>6.125524797995789</v>
      </c>
      <c r="G30" s="100">
        <f>IFERROR('Historical FS'!G6/'Historical FS'!G45,0)</f>
        <v>4.9222752423472365</v>
      </c>
      <c r="H30" s="100">
        <f>IFERROR('Historical FS'!H6/'Historical FS'!H45,0)</f>
        <v>5.551453822650064</v>
      </c>
      <c r="I30" s="100">
        <f>IFERROR('Historical FS'!I6/'Historical FS'!I45,0)</f>
        <v>6.2838978874396298</v>
      </c>
      <c r="J30" s="100">
        <f>IFERROR('Historical FS'!J6/'Historical FS'!J45,0)</f>
        <v>7.0497478505888305</v>
      </c>
      <c r="K30" s="100">
        <f>IFERROR('Historical FS'!K6/'Historical FS'!K45,0)</f>
        <v>3.6907196530260653</v>
      </c>
      <c r="L30" s="100">
        <f>IFERROR('Historical FS'!L6/'Historical FS'!L45,0)</f>
        <v>3.6809306850734926</v>
      </c>
      <c r="N30" s="100">
        <f>IFERROR(AVERAGE(D30:L30),0)</f>
        <v>5.2545587302333878</v>
      </c>
      <c r="O30" s="100">
        <f>IFERROR(MEDIAN(D30:L30),0)</f>
        <v>5.2825813064554019</v>
      </c>
    </row>
    <row r="31" spans="2:15" ht="15.75" customHeight="1" x14ac:dyDescent="0.2">
      <c r="B31" s="92" t="s">
        <v>361</v>
      </c>
      <c r="C31" s="98">
        <f>IFERROR('Historical FS'!C6/SUM('Historical FS'!C39:C40),0)</f>
        <v>2.9262787998561652</v>
      </c>
      <c r="D31" s="98">
        <f>IFERROR('Historical FS'!D6/SUM('Historical FS'!D39:D40),0)</f>
        <v>3.0737803981773344</v>
      </c>
      <c r="E31" s="98">
        <f>IFERROR('Historical FS'!E6/SUM('Historical FS'!E39:E40),0)</f>
        <v>6.445929114530947</v>
      </c>
      <c r="F31" s="98">
        <f>IFERROR('Historical FS'!F6/SUM('Historical FS'!F39:F40),0)</f>
        <v>6.6110858003109927</v>
      </c>
      <c r="G31" s="98">
        <f>IFERROR('Historical FS'!G6/SUM('Historical FS'!G39:G40),0)</f>
        <v>7.5733361419661112</v>
      </c>
      <c r="H31" s="98">
        <f>IFERROR('Historical FS'!H6/SUM('Historical FS'!H39:H40),0)</f>
        <v>6.8710011914589062</v>
      </c>
      <c r="I31" s="98">
        <f>IFERROR('Historical FS'!I6/SUM('Historical FS'!I39:I40),0)</f>
        <v>7.7775428294912503</v>
      </c>
      <c r="J31" s="98">
        <f>IFERROR('Historical FS'!J6/SUM('Historical FS'!J39:J40),0)</f>
        <v>7.3016142405167486</v>
      </c>
      <c r="K31" s="98">
        <f>IFERROR('Historical FS'!K6/SUM('Historical FS'!K39:K40),0)</f>
        <v>4.9066854498864512</v>
      </c>
      <c r="L31" s="98">
        <f>IFERROR('Historical FS'!L6/SUM('Historical FS'!L39:L40),0)</f>
        <v>4.3611891720848934</v>
      </c>
      <c r="M31" s="92"/>
      <c r="N31" s="98">
        <f>IFERROR(AVERAGE(D31:L31),0)</f>
        <v>6.1024627042692927</v>
      </c>
      <c r="O31" s="98">
        <f>IFERROR(MEDIAN(D31:L31),0)</f>
        <v>6.6110858003109927</v>
      </c>
    </row>
    <row r="32" spans="2:15" ht="15.75" customHeight="1" x14ac:dyDescent="0.2">
      <c r="N32" s="24"/>
      <c r="O32" s="24"/>
    </row>
    <row r="33" spans="2:15" ht="15.75" customHeight="1" x14ac:dyDescent="0.2">
      <c r="B33" s="90" t="s">
        <v>362</v>
      </c>
      <c r="C33" s="101">
        <f>IFERROR(365/C27,0)</f>
        <v>3.2442904811381075</v>
      </c>
      <c r="D33" s="101">
        <f>IFERROR(365/D27,0)</f>
        <v>4.0271220932549436</v>
      </c>
      <c r="E33" s="101">
        <f>IFERROR(365/E27,0)</f>
        <v>3.6689155866730268</v>
      </c>
      <c r="F33" s="101">
        <f>IFERROR(365/F27,0)</f>
        <v>4.5093119640929649</v>
      </c>
      <c r="G33" s="101">
        <f>IFERROR(365/G27,0)</f>
        <v>4.1096760713105782</v>
      </c>
      <c r="H33" s="101">
        <f>IFERROR(365/H27,0)</f>
        <v>4.1451154527204892</v>
      </c>
      <c r="I33" s="101">
        <f>IFERROR(365/I27,0)</f>
        <v>3.6619654611712664</v>
      </c>
      <c r="J33" s="101">
        <f>IFERROR(365/J27,0)</f>
        <v>4.4957118360376302</v>
      </c>
      <c r="K33" s="101">
        <f>IFERROR(365/K27,0)</f>
        <v>6.5613620928284737</v>
      </c>
      <c r="L33" s="101">
        <f>IFERROR(365/L27,0)</f>
        <v>5.1936353899441148</v>
      </c>
      <c r="M33" s="90"/>
      <c r="N33" s="101">
        <f>IFERROR(AVERAGE(D33:L33),0)</f>
        <v>4.4858684386703871</v>
      </c>
      <c r="O33" s="101">
        <f>IFERROR(MEDIAN(D33:L33),0)</f>
        <v>4.1451154527204892</v>
      </c>
    </row>
    <row r="34" spans="2:15" ht="15.75" customHeight="1" x14ac:dyDescent="0.2">
      <c r="B34" s="15" t="s">
        <v>363</v>
      </c>
      <c r="C34" s="102">
        <f>IFERROR(365/C28,0)</f>
        <v>1.281379875319693</v>
      </c>
      <c r="D34" s="102">
        <f>IFERROR(365/D28,0)</f>
        <v>1.1358300855363892</v>
      </c>
      <c r="E34" s="102">
        <f>IFERROR(365/E28,0)</f>
        <v>5.5755240967264674</v>
      </c>
      <c r="F34" s="102">
        <f>IFERROR(365/F28,0)</f>
        <v>4.0324890655676429</v>
      </c>
      <c r="G34" s="102">
        <f>IFERROR(365/G28,0)</f>
        <v>6.5979652103477537</v>
      </c>
      <c r="H34" s="102">
        <f>IFERROR(365/H28,0)</f>
        <v>5.8436428801393863</v>
      </c>
      <c r="I34" s="102">
        <f>IFERROR(365/I28,0)</f>
        <v>5.1625144434626664</v>
      </c>
      <c r="J34" s="102">
        <f>IFERROR(365/J28,0)</f>
        <v>5.1551208109899651</v>
      </c>
      <c r="K34" s="102">
        <f>IFERROR(365/K28,0)</f>
        <v>21.082542635321232</v>
      </c>
      <c r="L34" s="102">
        <f>IFERROR(365/L28,0)</f>
        <v>7.0015634042479684</v>
      </c>
      <c r="N34" s="102">
        <f>IFERROR(AVERAGE(D34:L34),0)</f>
        <v>6.8430214035932746</v>
      </c>
      <c r="O34" s="102">
        <f>IFERROR(MEDIAN(D34:L34),0)</f>
        <v>5.5755240967264674</v>
      </c>
    </row>
    <row r="35" spans="2:15" ht="15.75" customHeight="1" x14ac:dyDescent="0.2">
      <c r="B35" s="15" t="s">
        <v>364</v>
      </c>
      <c r="C35" s="102">
        <f>IFERROR(365/C29,0)</f>
        <v>32.908562779731454</v>
      </c>
      <c r="D35" s="102">
        <f>IFERROR(365/D29,0)</f>
        <v>31.209468955311905</v>
      </c>
      <c r="E35" s="102">
        <f>IFERROR(365/E29,0)</f>
        <v>37.862748506334434</v>
      </c>
      <c r="F35" s="102">
        <f>IFERROR(365/F29,0)</f>
        <v>38.727643308666721</v>
      </c>
      <c r="G35" s="102">
        <f>IFERROR(365/G29,0)</f>
        <v>39.436498132028639</v>
      </c>
      <c r="H35" s="102">
        <f>IFERROR(365/H29,0)</f>
        <v>41.664361518284949</v>
      </c>
      <c r="I35" s="102">
        <f>IFERROR(365/I29,0)</f>
        <v>36.808010435891944</v>
      </c>
      <c r="J35" s="102">
        <f>IFERROR(365/J29,0)</f>
        <v>31.262598954082353</v>
      </c>
      <c r="K35" s="102">
        <f>IFERROR(365/K29,0)</f>
        <v>51.49607753064614</v>
      </c>
      <c r="L35" s="102">
        <f>IFERROR(365/L29,0)</f>
        <v>40.500172751850606</v>
      </c>
      <c r="N35" s="102">
        <f>IFERROR(AVERAGE(D35:L35),0)</f>
        <v>38.774175565899746</v>
      </c>
      <c r="O35" s="102">
        <f>IFERROR(MEDIAN(D35:L35),0)</f>
        <v>38.727643308666721</v>
      </c>
    </row>
    <row r="36" spans="2:15" ht="15.75" customHeight="1" x14ac:dyDescent="0.2">
      <c r="B36" s="92" t="s">
        <v>365</v>
      </c>
      <c r="C36" s="103">
        <f>SUM(C33,C35)-C34</f>
        <v>34.871473385549869</v>
      </c>
      <c r="D36" s="103">
        <f>SUM(D33,D35)-D34</f>
        <v>34.10076096303046</v>
      </c>
      <c r="E36" s="103">
        <f>SUM(E33,E35)-E34</f>
        <v>35.956139996280996</v>
      </c>
      <c r="F36" s="103">
        <f>SUM(F33,F35)-F34</f>
        <v>39.204466207192041</v>
      </c>
      <c r="G36" s="103">
        <f>SUM(G33,G35)-G34</f>
        <v>36.948208992991468</v>
      </c>
      <c r="H36" s="103">
        <f>SUM(H33,H35)-H34</f>
        <v>39.965834090866053</v>
      </c>
      <c r="I36" s="103">
        <f>SUM(I33,I35)-I34</f>
        <v>35.307461453600538</v>
      </c>
      <c r="J36" s="103">
        <f>SUM(J33,J35)-J34</f>
        <v>30.603189979130022</v>
      </c>
      <c r="K36" s="103">
        <f>SUM(K33,K35)-K34</f>
        <v>36.974896988153382</v>
      </c>
      <c r="L36" s="103">
        <f>SUM(L33,L35)-L34</f>
        <v>38.692244737546751</v>
      </c>
      <c r="M36" s="92"/>
      <c r="N36" s="103">
        <f>IFERROR(AVERAGE(D36:L36),0)</f>
        <v>36.417022600976857</v>
      </c>
      <c r="O36" s="103">
        <f>IFERROR(MEDIAN(D36:L36),0)</f>
        <v>36.948208992991468</v>
      </c>
    </row>
    <row r="37" spans="2:15" ht="15.75" customHeight="1" x14ac:dyDescent="0.2">
      <c r="N37" s="24"/>
      <c r="O37" s="24"/>
    </row>
    <row r="38" spans="2:15" ht="15.75" customHeight="1" x14ac:dyDescent="0.2">
      <c r="B38" s="90" t="s">
        <v>366</v>
      </c>
      <c r="C38" s="91">
        <f>IFERROR('Historical FS'!C62/'Historical FS'!C6,0)</f>
        <v>0.1816046595268542</v>
      </c>
      <c r="D38" s="91">
        <f>IFERROR('Historical FS'!D62/'Historical FS'!D6,0)</f>
        <v>0.18175707807199082</v>
      </c>
      <c r="E38" s="91">
        <f>IFERROR('Historical FS'!E62/'Historical FS'!E6,0)</f>
        <v>0.18556621849962407</v>
      </c>
      <c r="F38" s="91">
        <f>IFERROR('Historical FS'!F62/'Historical FS'!F6,0)</f>
        <v>0.1838557666162548</v>
      </c>
      <c r="G38" s="91">
        <f>IFERROR('Historical FS'!G62/'Historical FS'!G6,0)</f>
        <v>0.15168999341274669</v>
      </c>
      <c r="H38" s="91">
        <f>IFERROR('Historical FS'!H62/'Historical FS'!H6,0)</f>
        <v>0.16200724864117569</v>
      </c>
      <c r="I38" s="91">
        <f>IFERROR('Historical FS'!I62/'Historical FS'!I6,0)</f>
        <v>0.17735735610128464</v>
      </c>
      <c r="J38" s="91">
        <f>IFERROR('Historical FS'!J62/'Historical FS'!J6,0)</f>
        <v>0.171140806160887</v>
      </c>
      <c r="K38" s="91">
        <f>IFERROR('Historical FS'!K62/'Historical FS'!K6,0)</f>
        <v>0.14526254408075415</v>
      </c>
      <c r="L38" s="91">
        <f>IFERROR('Historical FS'!L62/'Historical FS'!L6,0)</f>
        <v>0.21799383275893347</v>
      </c>
      <c r="M38" s="90"/>
      <c r="N38" s="91">
        <f>IFERROR(AVERAGE(D38:L38),0)</f>
        <v>0.17518120492707237</v>
      </c>
      <c r="O38" s="91">
        <f>IFERROR(MEDIAN(D38:L38),0)</f>
        <v>0.17735735610128464</v>
      </c>
    </row>
    <row r="39" spans="2:15" ht="15.75" customHeight="1" x14ac:dyDescent="0.2">
      <c r="B39" s="15" t="s">
        <v>367</v>
      </c>
      <c r="C39" s="24">
        <f>IFERROR('Historical FS'!C62/'Historical FS'!C56,0)</f>
        <v>0.24689545390956172</v>
      </c>
      <c r="D39" s="24">
        <f>IFERROR('Historical FS'!D62/'Historical FS'!D56,0)</f>
        <v>0.25376232678212879</v>
      </c>
      <c r="E39" s="24">
        <f>IFERROR('Historical FS'!E62/'Historical FS'!E56,0)</f>
        <v>0.31998734131332485</v>
      </c>
      <c r="F39" s="24">
        <f>IFERROR('Historical FS'!F62/'Historical FS'!F56,0)</f>
        <v>0.31070428989345206</v>
      </c>
      <c r="G39" s="24">
        <f>IFERROR('Historical FS'!G62/'Historical FS'!G56,0)</f>
        <v>0.2715526716240817</v>
      </c>
      <c r="H39" s="24">
        <f>IFERROR('Historical FS'!H62/'Historical FS'!H56,0)</f>
        <v>0.30487908102918665</v>
      </c>
      <c r="I39" s="24">
        <f>IFERROR('Historical FS'!I62/'Historical FS'!I56,0)</f>
        <v>0.37780245335091556</v>
      </c>
      <c r="J39" s="24">
        <f>IFERROR('Historical FS'!J62/'Historical FS'!J56,0)</f>
        <v>0.39672775789551712</v>
      </c>
      <c r="K39" s="24">
        <f>IFERROR('Historical FS'!K62/'Historical FS'!K56,0)</f>
        <v>0.23811718540168728</v>
      </c>
      <c r="L39" s="24">
        <f>IFERROR('Historical FS'!L62/'Historical FS'!L56,0)</f>
        <v>0.37789142460566127</v>
      </c>
      <c r="N39" s="24">
        <f>IFERROR(AVERAGE(D39:L39),0)</f>
        <v>0.31682494798843952</v>
      </c>
      <c r="O39" s="24">
        <f>IFERROR(MEDIAN(D39:L39),0)</f>
        <v>0.31070428989345206</v>
      </c>
    </row>
    <row r="40" spans="2:15" ht="15.75" customHeight="1" x14ac:dyDescent="0.2">
      <c r="B40" s="92" t="s">
        <v>368</v>
      </c>
      <c r="C40" s="93">
        <f>IFERROR('Historical FS'!C62/'Historical FS'!C41,0)</f>
        <v>51.729937393284004</v>
      </c>
      <c r="D40" s="93">
        <f>IFERROR('Historical FS'!D62/'Historical FS'!D41,0)</f>
        <v>58.407797381900963</v>
      </c>
      <c r="E40" s="93">
        <f>IFERROR('Historical FS'!E62/'Historical FS'!E41,0)</f>
        <v>12.1480364136763</v>
      </c>
      <c r="F40" s="93">
        <f>IFERROR('Historical FS'!F62/'Historical FS'!F41,0)</f>
        <v>16.641670621737067</v>
      </c>
      <c r="G40" s="93">
        <f>IFERROR('Historical FS'!G62/'Historical FS'!G41,0)</f>
        <v>8.3915034151467403</v>
      </c>
      <c r="H40" s="93">
        <f>IFERROR('Historical FS'!H62/'Historical FS'!H41,0)</f>
        <v>10.119140913795652</v>
      </c>
      <c r="I40" s="93">
        <f>IFERROR('Historical FS'!I62/'Historical FS'!I41,0)</f>
        <v>12.53951648676623</v>
      </c>
      <c r="J40" s="93">
        <f>IFERROR('Historical FS'!J62/'Historical FS'!J41,0)</f>
        <v>12.117348271558356</v>
      </c>
      <c r="K40" s="93">
        <f>IFERROR('Historical FS'!K62/'Historical FS'!K41,0)</f>
        <v>2.5149162274499726</v>
      </c>
      <c r="L40" s="93">
        <f>IFERROR('Historical FS'!L62/'Historical FS'!L41,0)</f>
        <v>11.364283141210375</v>
      </c>
      <c r="M40" s="92"/>
      <c r="N40" s="93">
        <f>IFERROR(AVERAGE(D40:L40),0)</f>
        <v>16.027134763693514</v>
      </c>
      <c r="O40" s="93">
        <f>IFERROR(MEDIAN(D40:L40),0)</f>
        <v>12.117348271558356</v>
      </c>
    </row>
    <row r="41" spans="2:15" ht="15.75" customHeight="1" x14ac:dyDescent="0.15"/>
    <row r="42" spans="2:15" ht="15.75" customHeight="1" x14ac:dyDescent="0.15"/>
    <row r="43" spans="2:15" ht="15.75" customHeight="1" x14ac:dyDescent="0.15"/>
    <row r="44" spans="2:15" ht="15.75" customHeight="1" x14ac:dyDescent="0.15"/>
    <row r="45" spans="2:15" ht="15.75" customHeight="1" x14ac:dyDescent="0.15"/>
    <row r="46" spans="2:15" ht="15.75" customHeight="1" x14ac:dyDescent="0.15"/>
    <row r="47" spans="2:15" ht="15.75" customHeight="1" x14ac:dyDescent="0.15"/>
    <row r="48" spans="2:15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</sheetData>
  <mergeCells count="2">
    <mergeCell ref="B2:O2"/>
    <mergeCell ref="B4:O4"/>
  </mergeCells>
  <pageMargins left="0.7" right="0.7" top="0.75" bottom="0.75" header="0.511811023622047" footer="0.511811023622047"/>
  <pageSetup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2060"/>
  </sheetPr>
  <dimension ref="A21:K100"/>
  <sheetViews>
    <sheetView zoomScaleNormal="100" workbookViewId="0"/>
  </sheetViews>
  <sheetFormatPr defaultColWidth="14.46484375" defaultRowHeight="13.5" x14ac:dyDescent="0.15"/>
  <cols>
    <col min="1" max="11" width="8.703125" style="15" customWidth="1"/>
  </cols>
  <sheetData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M103"/>
  <sheetViews>
    <sheetView showGridLines="0" zoomScaleNormal="100" workbookViewId="0">
      <pane xSplit="1" ySplit="3" topLeftCell="B4" activePane="bottomRight" state="frozen"/>
      <selection pane="bottomLeft" activeCell="A4" sqref="A4"/>
      <selection pane="topRight" activeCell="B1" sqref="B1"/>
      <selection pane="bottomRight" activeCell="B4" sqref="B4"/>
    </sheetView>
  </sheetViews>
  <sheetFormatPr defaultColWidth="14.46484375" defaultRowHeight="13.5" x14ac:dyDescent="0.15"/>
  <cols>
    <col min="1" max="1" width="1.9609375" style="15" customWidth="1"/>
    <col min="2" max="2" width="26.84765625" style="15" customWidth="1"/>
    <col min="3" max="13" width="14.21875" style="15" customWidth="1"/>
  </cols>
  <sheetData>
    <row r="2" spans="1:13" ht="15" customHeight="1" x14ac:dyDescent="0.2">
      <c r="B2" s="125" t="str">
        <f>"Historical Financial Statement -"&amp;'Data Sheet'!B1</f>
        <v>Historical Financial Statement -NESTLE INDIA LTD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</row>
    <row r="3" spans="1:13" ht="15" customHeight="1" x14ac:dyDescent="0.2">
      <c r="B3" s="87" t="s">
        <v>334</v>
      </c>
      <c r="C3" s="88">
        <f>'Data Sheet'!B16</f>
        <v>43100</v>
      </c>
      <c r="D3" s="88">
        <f>'Data Sheet'!C16</f>
        <v>43465</v>
      </c>
      <c r="E3" s="88">
        <f>'Data Sheet'!D16</f>
        <v>43830</v>
      </c>
      <c r="F3" s="88">
        <f>'Data Sheet'!E16</f>
        <v>44196</v>
      </c>
      <c r="G3" s="88">
        <f>'Data Sheet'!F16</f>
        <v>44561</v>
      </c>
      <c r="H3" s="88">
        <f>'Data Sheet'!G16</f>
        <v>44926</v>
      </c>
      <c r="I3" s="88">
        <f>'Data Sheet'!H16</f>
        <v>45291</v>
      </c>
      <c r="J3" s="88">
        <f>'Data Sheet'!I16</f>
        <v>45382</v>
      </c>
      <c r="K3" s="88">
        <f>'Data Sheet'!J16</f>
        <v>45747</v>
      </c>
      <c r="L3" s="88">
        <f>'Data Sheet'!K16</f>
        <v>46112</v>
      </c>
    </row>
    <row r="4" spans="1:13" ht="30" customHeight="1" x14ac:dyDescent="0.15">
      <c r="B4" s="124" t="s">
        <v>338</v>
      </c>
      <c r="C4" s="124"/>
      <c r="D4" s="124"/>
      <c r="E4" s="124"/>
      <c r="F4" s="124"/>
      <c r="G4" s="124"/>
      <c r="H4" s="124"/>
      <c r="I4" s="124"/>
      <c r="J4" s="124"/>
      <c r="K4" s="124"/>
      <c r="L4" s="124"/>
    </row>
    <row r="5" spans="1:13" ht="15" customHeight="1" x14ac:dyDescent="0.2">
      <c r="A5" s="15" t="s">
        <v>369</v>
      </c>
      <c r="B5" s="40" t="s">
        <v>370</v>
      </c>
      <c r="C5" s="78"/>
      <c r="D5" s="78"/>
      <c r="E5" s="78"/>
      <c r="F5" s="78"/>
      <c r="G5" s="78"/>
      <c r="H5" s="78"/>
      <c r="I5" s="78"/>
      <c r="J5" s="78"/>
      <c r="K5" s="78"/>
      <c r="L5" s="78"/>
    </row>
    <row r="6" spans="1:13" ht="15" customHeight="1" x14ac:dyDescent="0.2">
      <c r="B6" s="83" t="s">
        <v>371</v>
      </c>
      <c r="C6" s="104">
        <f>IFERROR('Data Sheet'!B17,0)</f>
        <v>10009.6</v>
      </c>
      <c r="D6" s="104">
        <f>IFERROR('Data Sheet'!C17,0)</f>
        <v>11292.27</v>
      </c>
      <c r="E6" s="104">
        <f>IFERROR('Data Sheet'!D17,0)</f>
        <v>12368.9</v>
      </c>
      <c r="F6" s="104">
        <f>IFERROR('Data Sheet'!E17,0)</f>
        <v>13350.03</v>
      </c>
      <c r="G6" s="104">
        <f>IFERROR('Data Sheet'!F17,0)</f>
        <v>14740.59</v>
      </c>
      <c r="H6" s="104">
        <f>IFERROR('Data Sheet'!G17,0)</f>
        <v>16896.96</v>
      </c>
      <c r="I6" s="104">
        <f>IFERROR('Data Sheet'!H17,0)</f>
        <v>19126.3</v>
      </c>
      <c r="J6" s="104">
        <f>IFERROR('Data Sheet'!I17,0)</f>
        <v>24393.89</v>
      </c>
      <c r="K6" s="104">
        <f>IFERROR('Data Sheet'!J17,0)</f>
        <v>20201.560000000001</v>
      </c>
      <c r="L6" s="104">
        <f>IFERROR('Data Sheet'!K17,0)</f>
        <v>23154.6</v>
      </c>
      <c r="M6" s="105"/>
    </row>
    <row r="7" spans="1:13" ht="15" customHeight="1" x14ac:dyDescent="0.2">
      <c r="B7" s="106" t="s">
        <v>372</v>
      </c>
      <c r="C7" s="107">
        <v>0</v>
      </c>
      <c r="D7" s="108">
        <f>(D6/C6-1)</f>
        <v>0.12814398177749364</v>
      </c>
      <c r="E7" s="108">
        <f>(E6/D6-1)</f>
        <v>9.5342211973323376E-2</v>
      </c>
      <c r="F7" s="108">
        <f>(F6/E6-1)</f>
        <v>7.932233262456645E-2</v>
      </c>
      <c r="G7" s="108">
        <f>(G6/F6-1)</f>
        <v>0.10416156368187934</v>
      </c>
      <c r="H7" s="108">
        <f>(H6/G6-1)</f>
        <v>0.14628790299438488</v>
      </c>
      <c r="I7" s="108">
        <f>(I6/H6-1)</f>
        <v>0.13193734257523237</v>
      </c>
      <c r="J7" s="108">
        <f>(J6/I6-1)</f>
        <v>0.27541082174806419</v>
      </c>
      <c r="K7" s="108">
        <f>(K6/J6-1)</f>
        <v>-0.1718598386727167</v>
      </c>
      <c r="L7" s="108">
        <f>(L6/K6-1)</f>
        <v>0.14617880995329058</v>
      </c>
      <c r="M7" s="24"/>
    </row>
    <row r="8" spans="1:13" ht="15" customHeight="1" x14ac:dyDescent="0.2">
      <c r="B8" s="83" t="s">
        <v>373</v>
      </c>
      <c r="C8" s="104">
        <f>IFERROR(SUM('Data Sheet'!B20:B22,'Data Sheet'!B18)-1*'Data Sheet'!B19,0)</f>
        <v>5821.1599999999989</v>
      </c>
      <c r="D8" s="104">
        <f>IFERROR(SUM('Data Sheet'!C20:C22,'Data Sheet'!C18)-1*'Data Sheet'!C19,0)</f>
        <v>6241.4</v>
      </c>
      <c r="E8" s="104">
        <f>IFERROR(SUM('Data Sheet'!D20:D22,'Data Sheet'!D18)-1*'Data Sheet'!D19,0)</f>
        <v>7003.97</v>
      </c>
      <c r="F8" s="104">
        <f>IFERROR(SUM('Data Sheet'!E20:E22,'Data Sheet'!E18)-1*'Data Sheet'!E19,0)</f>
        <v>7687.4</v>
      </c>
      <c r="G8" s="104">
        <f>IFERROR(SUM('Data Sheet'!F20:F22,'Data Sheet'!F18)-1*'Data Sheet'!F19,0)</f>
        <v>8521.15</v>
      </c>
      <c r="H8" s="104">
        <f>IFERROR(SUM('Data Sheet'!G20:G22,'Data Sheet'!G18)-1*'Data Sheet'!G19,0)</f>
        <v>10221.700000000001</v>
      </c>
      <c r="I8" s="104">
        <f>IFERROR(SUM('Data Sheet'!H20:H22,'Data Sheet'!H18)-1*'Data Sheet'!H19,0)</f>
        <v>10281.89</v>
      </c>
      <c r="J8" s="104">
        <f>IFERROR(SUM('Data Sheet'!I20:I22,'Data Sheet'!I18)-1*'Data Sheet'!I19,0)</f>
        <v>14101.720000000001</v>
      </c>
      <c r="K8" s="104">
        <f>IFERROR(SUM('Data Sheet'!J20:J22,'Data Sheet'!J18)-1*'Data Sheet'!J19,0)</f>
        <v>11692.86</v>
      </c>
      <c r="L8" s="104">
        <f>IFERROR(SUM('Data Sheet'!K20:K22,'Data Sheet'!K18)-1*'Data Sheet'!K19,0)</f>
        <v>13627.64</v>
      </c>
    </row>
    <row r="9" spans="1:13" ht="15" customHeight="1" x14ac:dyDescent="0.2">
      <c r="B9" s="106" t="s">
        <v>374</v>
      </c>
      <c r="C9" s="108">
        <f>(C8/C6)</f>
        <v>0.58155770460358047</v>
      </c>
      <c r="D9" s="108">
        <f>(D8/D6)</f>
        <v>0.55271437895126485</v>
      </c>
      <c r="E9" s="108">
        <f>(E8/E6)</f>
        <v>0.5662564981526248</v>
      </c>
      <c r="F9" s="108">
        <f>(F8/F6)</f>
        <v>0.57583391198371836</v>
      </c>
      <c r="G9" s="108">
        <f>(G8/G6)</f>
        <v>0.57807387628310669</v>
      </c>
      <c r="H9" s="108">
        <f>(H8/H6)</f>
        <v>0.60494313770050956</v>
      </c>
      <c r="I9" s="108">
        <f>(I8/I6)</f>
        <v>0.53757862210673257</v>
      </c>
      <c r="J9" s="108">
        <f>(J8/J6)</f>
        <v>0.57808410220756101</v>
      </c>
      <c r="K9" s="108">
        <f>(K8/K6)</f>
        <v>0.57880975528622536</v>
      </c>
      <c r="L9" s="108">
        <f>(L8/L6)</f>
        <v>0.58855000734195362</v>
      </c>
    </row>
    <row r="10" spans="1:13" ht="15" customHeight="1" x14ac:dyDescent="0.2">
      <c r="B10" s="85" t="s">
        <v>375</v>
      </c>
      <c r="C10" s="109">
        <f>(C6-C8)</f>
        <v>4188.4400000000014</v>
      </c>
      <c r="D10" s="109">
        <f>(D6-D8)</f>
        <v>5050.8700000000008</v>
      </c>
      <c r="E10" s="109">
        <f>(E6-E8)</f>
        <v>5364.9299999999994</v>
      </c>
      <c r="F10" s="109">
        <f>(F6-F8)</f>
        <v>5662.630000000001</v>
      </c>
      <c r="G10" s="109">
        <f>(G6-G8)</f>
        <v>6219.4400000000005</v>
      </c>
      <c r="H10" s="109">
        <f>(H6-H8)</f>
        <v>6675.2599999999984</v>
      </c>
      <c r="I10" s="109">
        <f>(I6-I8)</f>
        <v>8844.41</v>
      </c>
      <c r="J10" s="109">
        <f>(J6-J8)</f>
        <v>10292.169999999998</v>
      </c>
      <c r="K10" s="109">
        <f>(K6-K8)</f>
        <v>8508.7000000000007</v>
      </c>
      <c r="L10" s="109">
        <f>(L6-L8)</f>
        <v>9526.9599999999991</v>
      </c>
    </row>
    <row r="11" spans="1:13" ht="15" customHeight="1" x14ac:dyDescent="0.2">
      <c r="B11" s="106" t="s">
        <v>376</v>
      </c>
      <c r="C11" s="108">
        <f>C10/C6</f>
        <v>0.41844229539641958</v>
      </c>
      <c r="D11" s="108">
        <f>D10/D6</f>
        <v>0.44728562104873515</v>
      </c>
      <c r="E11" s="108">
        <f>E10/E6</f>
        <v>0.43374350184737526</v>
      </c>
      <c r="F11" s="108">
        <f>F10/F6</f>
        <v>0.42416608801628164</v>
      </c>
      <c r="G11" s="108">
        <f>G10/G6</f>
        <v>0.42192612371689331</v>
      </c>
      <c r="H11" s="108">
        <f>H10/H6</f>
        <v>0.3950568622994905</v>
      </c>
      <c r="I11" s="108">
        <f>I10/I6</f>
        <v>0.46242137789326737</v>
      </c>
      <c r="J11" s="108">
        <f>J10/J6</f>
        <v>0.42191589779243893</v>
      </c>
      <c r="K11" s="108">
        <f>K10/K6</f>
        <v>0.42119024471377459</v>
      </c>
      <c r="L11" s="108">
        <f>L10/L6</f>
        <v>0.41144999265804633</v>
      </c>
    </row>
    <row r="12" spans="1:13" ht="15" customHeight="1" x14ac:dyDescent="0.2">
      <c r="B12" s="83" t="s">
        <v>377</v>
      </c>
      <c r="C12" s="104">
        <f>IFERROR(SUM('Data Sheet'!B23:B24),0)</f>
        <v>2091.91</v>
      </c>
      <c r="D12" s="104">
        <f>IFERROR(SUM('Data Sheet'!C23:C24),0)</f>
        <v>2433.2200000000003</v>
      </c>
      <c r="E12" s="104">
        <f>IFERROR(SUM('Data Sheet'!D23:D24),0)</f>
        <v>2439.0500000000002</v>
      </c>
      <c r="F12" s="104">
        <f>IFERROR(SUM('Data Sheet'!E23:E24),0)</f>
        <v>2461.13</v>
      </c>
      <c r="G12" s="104">
        <f>IFERROR(SUM('Data Sheet'!F23:F24),0)</f>
        <v>2657.04</v>
      </c>
      <c r="H12" s="104">
        <f>IFERROR(SUM('Data Sheet'!G23:G24),0)</f>
        <v>2968.9700000000003</v>
      </c>
      <c r="I12" s="104">
        <f>IFERROR(SUM('Data Sheet'!H23:H24),0)</f>
        <v>4373.42</v>
      </c>
      <c r="J12" s="104">
        <f>IFERROR(SUM('Data Sheet'!I23:I24),0)</f>
        <v>4449.05</v>
      </c>
      <c r="K12" s="104">
        <f>IFERROR(SUM('Data Sheet'!J23:J24),0)</f>
        <v>3737.37</v>
      </c>
      <c r="L12" s="104">
        <f>IFERROR(SUM('Data Sheet'!K23:K24),0)</f>
        <v>4220</v>
      </c>
    </row>
    <row r="13" spans="1:13" ht="15" customHeight="1" x14ac:dyDescent="0.2">
      <c r="B13" s="106" t="s">
        <v>378</v>
      </c>
      <c r="C13" s="108">
        <f>C12/C6</f>
        <v>0.20899036924552428</v>
      </c>
      <c r="D13" s="108">
        <f>D12/D6</f>
        <v>0.21547660479248196</v>
      </c>
      <c r="E13" s="108">
        <f>E12/E6</f>
        <v>0.19719215128265247</v>
      </c>
      <c r="F13" s="108">
        <f>F12/F6</f>
        <v>0.18435389283769399</v>
      </c>
      <c r="G13" s="108">
        <f>G12/G6</f>
        <v>0.18025330058023456</v>
      </c>
      <c r="H13" s="108">
        <f>H12/H6</f>
        <v>0.17571030528568454</v>
      </c>
      <c r="I13" s="108">
        <f>I12/I6</f>
        <v>0.22866001265273472</v>
      </c>
      <c r="J13" s="108">
        <f>J12/J6</f>
        <v>0.18238378544791339</v>
      </c>
      <c r="K13" s="108">
        <f>K12/K6</f>
        <v>0.18500402939178953</v>
      </c>
      <c r="L13" s="108">
        <f>L12/L6</f>
        <v>0.18225320238743059</v>
      </c>
    </row>
    <row r="14" spans="1:13" ht="15" customHeight="1" x14ac:dyDescent="0.2">
      <c r="B14" s="85" t="s">
        <v>37</v>
      </c>
      <c r="C14" s="109">
        <f>C10-C12</f>
        <v>2096.5300000000016</v>
      </c>
      <c r="D14" s="109">
        <f>D10-D12</f>
        <v>2617.6500000000005</v>
      </c>
      <c r="E14" s="109">
        <f>E10-E12</f>
        <v>2925.8799999999992</v>
      </c>
      <c r="F14" s="109">
        <f>F10-F12</f>
        <v>3201.5000000000009</v>
      </c>
      <c r="G14" s="109">
        <f>G10-G12</f>
        <v>3562.4000000000005</v>
      </c>
      <c r="H14" s="109">
        <f>H10-H12</f>
        <v>3706.2899999999981</v>
      </c>
      <c r="I14" s="109">
        <f>I10-I12</f>
        <v>4470.99</v>
      </c>
      <c r="J14" s="109">
        <f>J10-J12</f>
        <v>5843.1199999999981</v>
      </c>
      <c r="K14" s="109">
        <f>K10-K12</f>
        <v>4771.3300000000008</v>
      </c>
      <c r="L14" s="109">
        <f>L10-L12</f>
        <v>5306.9599999999991</v>
      </c>
    </row>
    <row r="15" spans="1:13" ht="15" customHeight="1" x14ac:dyDescent="0.2">
      <c r="B15" s="106" t="s">
        <v>379</v>
      </c>
      <c r="C15" s="108">
        <f>C14/C6</f>
        <v>0.20945192615089528</v>
      </c>
      <c r="D15" s="108">
        <f>D14/D6</f>
        <v>0.23180901625625322</v>
      </c>
      <c r="E15" s="108">
        <f>E14/E6</f>
        <v>0.23655135056472276</v>
      </c>
      <c r="F15" s="108">
        <f>F14/F6</f>
        <v>0.23981219517858768</v>
      </c>
      <c r="G15" s="108">
        <f>G14/G6</f>
        <v>0.24167282313665875</v>
      </c>
      <c r="H15" s="108">
        <f>H14/H6</f>
        <v>0.21934655701380593</v>
      </c>
      <c r="I15" s="108">
        <f>I14/I6</f>
        <v>0.23376136524053268</v>
      </c>
      <c r="J15" s="108">
        <f>J14/J6</f>
        <v>0.23953211234452554</v>
      </c>
      <c r="K15" s="108">
        <f>K14/K6</f>
        <v>0.23618621532198505</v>
      </c>
      <c r="L15" s="108">
        <f>L14/L6</f>
        <v>0.22919679027061576</v>
      </c>
    </row>
    <row r="16" spans="1:13" ht="15" customHeight="1" x14ac:dyDescent="0.2">
      <c r="B16" s="83" t="s">
        <v>107</v>
      </c>
      <c r="C16" s="109">
        <f>IFERROR('Data Sheet'!B25,0)</f>
        <v>176.92</v>
      </c>
      <c r="D16" s="109">
        <f>IFERROR('Data Sheet'!C25,0)</f>
        <v>258.92</v>
      </c>
      <c r="E16" s="109">
        <f>IFERROR('Data Sheet'!D25,0)</f>
        <v>246.88</v>
      </c>
      <c r="F16" s="109">
        <f>IFERROR('Data Sheet'!E25,0)</f>
        <v>145.85</v>
      </c>
      <c r="G16" s="109">
        <f>IFERROR('Data Sheet'!F25,0)</f>
        <v>-112.38</v>
      </c>
      <c r="H16" s="109">
        <f>IFERROR('Data Sheet'!G25,0)</f>
        <v>107.26</v>
      </c>
      <c r="I16" s="109">
        <f>IFERROR('Data Sheet'!H25,0)</f>
        <v>115.5</v>
      </c>
      <c r="J16" s="109">
        <f>IFERROR('Data Sheet'!I25,0)</f>
        <v>158.99</v>
      </c>
      <c r="K16" s="109">
        <f>IFERROR('Data Sheet'!J25,0)</f>
        <v>352.06</v>
      </c>
      <c r="L16" s="109">
        <f>IFERROR('Data Sheet'!K25,0)</f>
        <v>160.22999999999999</v>
      </c>
    </row>
    <row r="17" spans="2:12" ht="15" customHeight="1" x14ac:dyDescent="0.2">
      <c r="B17" s="110" t="s">
        <v>380</v>
      </c>
      <c r="C17" s="108">
        <f>C16/C6</f>
        <v>1.767503196930946E-2</v>
      </c>
      <c r="D17" s="108">
        <f>D16/D6</f>
        <v>2.2928959367779906E-2</v>
      </c>
      <c r="E17" s="108">
        <f>E16/E6</f>
        <v>1.9959737729304951E-2</v>
      </c>
      <c r="F17" s="108">
        <f>F16/F6</f>
        <v>1.0925069082241761E-2</v>
      </c>
      <c r="G17" s="108">
        <f>G16/G6</f>
        <v>-7.6238468066746308E-3</v>
      </c>
      <c r="H17" s="108">
        <f>H16/H6</f>
        <v>6.3478874306384112E-3</v>
      </c>
      <c r="I17" s="108">
        <f>I16/I6</f>
        <v>6.0388052053978033E-3</v>
      </c>
      <c r="J17" s="108">
        <f>J16/J6</f>
        <v>6.5176156816317537E-3</v>
      </c>
      <c r="K17" s="108">
        <f>K16/K6</f>
        <v>1.7427366995420156E-2</v>
      </c>
      <c r="L17" s="108">
        <f>L16/L6</f>
        <v>6.9200072555777254E-3</v>
      </c>
    </row>
    <row r="18" spans="2:12" ht="15" customHeight="1" x14ac:dyDescent="0.2">
      <c r="B18" s="83" t="s">
        <v>108</v>
      </c>
      <c r="C18" s="104">
        <f>IFERROR('Data Sheet'!B26,0)</f>
        <v>342.25</v>
      </c>
      <c r="D18" s="104">
        <f>IFERROR('Data Sheet'!C26,0)</f>
        <v>335.67</v>
      </c>
      <c r="E18" s="104">
        <f>IFERROR('Data Sheet'!D26,0)</f>
        <v>370.15</v>
      </c>
      <c r="F18" s="104">
        <f>IFERROR('Data Sheet'!E26,0)</f>
        <v>370.38</v>
      </c>
      <c r="G18" s="104">
        <f>IFERROR('Data Sheet'!F26,0)</f>
        <v>391.02</v>
      </c>
      <c r="H18" s="104">
        <f>IFERROR('Data Sheet'!G26,0)</f>
        <v>403.01</v>
      </c>
      <c r="I18" s="104">
        <f>IFERROR('Data Sheet'!H26,0)</f>
        <v>428.91</v>
      </c>
      <c r="J18" s="104">
        <f>IFERROR('Data Sheet'!I26,0)</f>
        <v>567.75</v>
      </c>
      <c r="K18" s="104">
        <f>IFERROR('Data Sheet'!J26,0)</f>
        <v>539.91999999999996</v>
      </c>
      <c r="L18" s="104">
        <f>IFERROR('Data Sheet'!K26,0)</f>
        <v>699.23</v>
      </c>
    </row>
    <row r="19" spans="2:12" ht="15" customHeight="1" x14ac:dyDescent="0.2">
      <c r="B19" s="106" t="s">
        <v>381</v>
      </c>
      <c r="C19" s="108">
        <f>C18/C6</f>
        <v>3.4192175511508952E-2</v>
      </c>
      <c r="D19" s="108">
        <f>D18/D6</f>
        <v>2.9725644179602505E-2</v>
      </c>
      <c r="E19" s="108">
        <f>E18/E6</f>
        <v>2.9925862445326586E-2</v>
      </c>
      <c r="F19" s="108">
        <f>F18/F6</f>
        <v>2.7743757879195776E-2</v>
      </c>
      <c r="G19" s="108">
        <f>G18/G6</f>
        <v>2.6526753678109218E-2</v>
      </c>
      <c r="H19" s="108">
        <f>H18/H6</f>
        <v>2.3851035925989056E-2</v>
      </c>
      <c r="I19" s="108">
        <f>I18/I6</f>
        <v>2.2425142343265557E-2</v>
      </c>
      <c r="J19" s="108">
        <f>J18/J6</f>
        <v>2.3274270729268683E-2</v>
      </c>
      <c r="K19" s="108">
        <f>K18/K6</f>
        <v>2.6726648833060414E-2</v>
      </c>
      <c r="L19" s="108">
        <f>L18/L6</f>
        <v>3.0198319124493625E-2</v>
      </c>
    </row>
    <row r="20" spans="2:12" ht="15" customHeight="1" x14ac:dyDescent="0.2">
      <c r="B20" s="83" t="s">
        <v>110</v>
      </c>
      <c r="C20" s="104">
        <f>IFERROR('Data Sheet'!B27,0)</f>
        <v>91.9</v>
      </c>
      <c r="D20" s="104">
        <f>IFERROR('Data Sheet'!C27,0)</f>
        <v>111.95</v>
      </c>
      <c r="E20" s="104">
        <f>IFERROR('Data Sheet'!D27,0)</f>
        <v>129.12</v>
      </c>
      <c r="F20" s="104">
        <f>IFERROR('Data Sheet'!E27,0)</f>
        <v>164.18</v>
      </c>
      <c r="G20" s="104">
        <f>IFERROR('Data Sheet'!F27,0)</f>
        <v>201.68</v>
      </c>
      <c r="H20" s="104">
        <f>IFERROR('Data Sheet'!G27,0)</f>
        <v>154.57</v>
      </c>
      <c r="I20" s="104">
        <f>IFERROR('Data Sheet'!H27,0)</f>
        <v>119.29</v>
      </c>
      <c r="J20" s="104">
        <f>IFERROR('Data Sheet'!I27,0)</f>
        <v>145.49</v>
      </c>
      <c r="K20" s="104">
        <f>IFERROR('Data Sheet'!J27,0)</f>
        <v>136</v>
      </c>
      <c r="L20" s="104">
        <f>IFERROR('Data Sheet'!K27,0)</f>
        <v>158.31</v>
      </c>
    </row>
    <row r="21" spans="2:12" ht="15.75" customHeight="1" x14ac:dyDescent="0.2">
      <c r="B21" s="106" t="s">
        <v>382</v>
      </c>
      <c r="C21" s="108">
        <f>C20/C6</f>
        <v>9.1811860613810747E-3</v>
      </c>
      <c r="D21" s="108">
        <f>D20/D6</f>
        <v>9.9138614291015004E-3</v>
      </c>
      <c r="E21" s="108">
        <f>E20/E6</f>
        <v>1.0439085124788786E-2</v>
      </c>
      <c r="F21" s="108">
        <f>F20/F6</f>
        <v>1.2298099704644858E-2</v>
      </c>
      <c r="G21" s="108">
        <f>G20/G6</f>
        <v>1.3681948958623773E-2</v>
      </c>
      <c r="H21" s="108">
        <f>H20/H6</f>
        <v>9.1477993674601819E-3</v>
      </c>
      <c r="I21" s="108">
        <f>I20/I6</f>
        <v>6.2369616705792554E-3</v>
      </c>
      <c r="J21" s="108">
        <f>J20/J6</f>
        <v>5.9641984119793937E-3</v>
      </c>
      <c r="K21" s="108">
        <f>K20/K6</f>
        <v>6.732153358453505E-3</v>
      </c>
      <c r="L21" s="108">
        <f>L20/L6</f>
        <v>6.8370863672877098E-3</v>
      </c>
    </row>
    <row r="22" spans="2:12" ht="15.75" customHeight="1" x14ac:dyDescent="0.2">
      <c r="B22" s="85" t="s">
        <v>111</v>
      </c>
      <c r="C22" s="109">
        <f>C14+C16-(C18+C20)</f>
        <v>1839.3000000000015</v>
      </c>
      <c r="D22" s="109">
        <f>D14+D16-(D18+D20)</f>
        <v>2428.9500000000007</v>
      </c>
      <c r="E22" s="109">
        <f>E14+E16-(E18+E20)</f>
        <v>2673.4899999999993</v>
      </c>
      <c r="F22" s="109">
        <f>F14+F16-(F18+F20)</f>
        <v>2812.7900000000009</v>
      </c>
      <c r="G22" s="109">
        <f>G14+G16-(G18+G20)</f>
        <v>2857.3200000000006</v>
      </c>
      <c r="H22" s="109">
        <f>H14+H16-(H18+H20)</f>
        <v>3255.9699999999984</v>
      </c>
      <c r="I22" s="109">
        <f>I14+I16-(I18+I20)</f>
        <v>4038.29</v>
      </c>
      <c r="J22" s="109">
        <f>J14+J16-(J18+J20)</f>
        <v>5288.8699999999981</v>
      </c>
      <c r="K22" s="109">
        <f>K14+K16-(K18+K20)</f>
        <v>4447.4700000000012</v>
      </c>
      <c r="L22" s="109">
        <f>L14+L16-(L18+L20)</f>
        <v>4609.6499999999987</v>
      </c>
    </row>
    <row r="23" spans="2:12" ht="15.75" customHeight="1" x14ac:dyDescent="0.2">
      <c r="B23" s="106" t="s">
        <v>383</v>
      </c>
      <c r="C23" s="108">
        <f>C22/C6</f>
        <v>0.18375359654731471</v>
      </c>
      <c r="D23" s="108">
        <f>D22/D6</f>
        <v>0.21509847001532911</v>
      </c>
      <c r="E23" s="108">
        <f>E22/E6</f>
        <v>0.21614614072391233</v>
      </c>
      <c r="F23" s="108">
        <f>F22/F6</f>
        <v>0.2106954066769888</v>
      </c>
      <c r="G23" s="108">
        <f>G22/G6</f>
        <v>0.19384027369325113</v>
      </c>
      <c r="H23" s="108">
        <f>H22/H6</f>
        <v>0.19269560915099512</v>
      </c>
      <c r="I23" s="108">
        <f>I22/I6</f>
        <v>0.21113806643208566</v>
      </c>
      <c r="J23" s="108">
        <f>J22/J6</f>
        <v>0.21681125888490921</v>
      </c>
      <c r="K23" s="108">
        <f>K22/K6</f>
        <v>0.22015478012589132</v>
      </c>
      <c r="L23" s="108">
        <f>L22/L6</f>
        <v>0.19908139203441214</v>
      </c>
    </row>
    <row r="24" spans="2:12" ht="15.75" customHeight="1" x14ac:dyDescent="0.2">
      <c r="B24" s="83" t="s">
        <v>112</v>
      </c>
      <c r="C24" s="104">
        <f>IFERROR('Data Sheet'!B29,0)</f>
        <v>614.11</v>
      </c>
      <c r="D24" s="104">
        <f>IFERROR('Data Sheet'!C29,0)</f>
        <v>822.02</v>
      </c>
      <c r="E24" s="104">
        <f>IFERROR('Data Sheet'!D29,0)</f>
        <v>705.05</v>
      </c>
      <c r="F24" s="104">
        <f>IFERROR('Data Sheet'!E29,0)</f>
        <v>730.36</v>
      </c>
      <c r="G24" s="104">
        <f>IFERROR('Data Sheet'!F29,0)</f>
        <v>738.91</v>
      </c>
      <c r="H24" s="104">
        <f>IFERROR('Data Sheet'!G29,0)</f>
        <v>865.45</v>
      </c>
      <c r="I24" s="104">
        <f>IFERROR('Data Sheet'!H29,0)</f>
        <v>1039.6199999999999</v>
      </c>
      <c r="J24" s="104">
        <f>IFERROR('Data Sheet'!I29,0)</f>
        <v>1356.03</v>
      </c>
      <c r="K24" s="104">
        <f>IFERROR('Data Sheet'!J29,0)</f>
        <v>1132.97</v>
      </c>
      <c r="L24" s="104">
        <f>IFERROR('Data Sheet'!K29,0)</f>
        <v>1065.05</v>
      </c>
    </row>
    <row r="25" spans="2:12" ht="15.75" customHeight="1" x14ac:dyDescent="0.2">
      <c r="B25" s="106" t="s">
        <v>27</v>
      </c>
      <c r="C25" s="108">
        <f>C24/C22</f>
        <v>0.33388245528190047</v>
      </c>
      <c r="D25" s="108">
        <f>D24/D22</f>
        <v>0.33842606887749838</v>
      </c>
      <c r="E25" s="108">
        <f>E24/E22</f>
        <v>0.26371895911336873</v>
      </c>
      <c r="F25" s="108">
        <f>F24/F22</f>
        <v>0.25965678205625015</v>
      </c>
      <c r="G25" s="108">
        <f>G24/G22</f>
        <v>0.25860246664706782</v>
      </c>
      <c r="H25" s="108">
        <f>H24/H22</f>
        <v>0.26580404610607605</v>
      </c>
      <c r="I25" s="108">
        <f>I24/I22</f>
        <v>0.25744064938377381</v>
      </c>
      <c r="J25" s="108">
        <f>J24/J22</f>
        <v>0.25639314258055135</v>
      </c>
      <c r="K25" s="108">
        <f>K24/K22</f>
        <v>0.25474483245530599</v>
      </c>
      <c r="L25" s="108">
        <f>L24/L22</f>
        <v>0.23104791036195813</v>
      </c>
    </row>
    <row r="26" spans="2:12" ht="15.75" customHeight="1" x14ac:dyDescent="0.2">
      <c r="B26" s="85" t="s">
        <v>384</v>
      </c>
      <c r="C26" s="109">
        <f>C22-C24</f>
        <v>1225.1900000000014</v>
      </c>
      <c r="D26" s="109">
        <f>D22-D24</f>
        <v>1606.9300000000007</v>
      </c>
      <c r="E26" s="109">
        <f>E22-E24</f>
        <v>1968.4399999999994</v>
      </c>
      <c r="F26" s="109">
        <f>F22-F24</f>
        <v>2082.4300000000007</v>
      </c>
      <c r="G26" s="109">
        <f>G22-G24</f>
        <v>2118.4100000000008</v>
      </c>
      <c r="H26" s="109">
        <f>H22-H24</f>
        <v>2390.5199999999986</v>
      </c>
      <c r="I26" s="109">
        <f>I22-I24</f>
        <v>2998.67</v>
      </c>
      <c r="J26" s="109">
        <f>J22-J24</f>
        <v>3932.8399999999983</v>
      </c>
      <c r="K26" s="109">
        <f>K22-K24</f>
        <v>3314.5000000000009</v>
      </c>
      <c r="L26" s="109">
        <f>L22-L24</f>
        <v>3544.5999999999985</v>
      </c>
    </row>
    <row r="27" spans="2:12" ht="15.75" customHeight="1" x14ac:dyDescent="0.2">
      <c r="B27" s="106" t="s">
        <v>385</v>
      </c>
      <c r="C27" s="108">
        <f>C26/C6</f>
        <v>0.12240149456521753</v>
      </c>
      <c r="D27" s="108">
        <f>D26/D6</f>
        <v>0.14230354038647683</v>
      </c>
      <c r="E27" s="108">
        <f>E26/E6</f>
        <v>0.15914430547583047</v>
      </c>
      <c r="F27" s="108">
        <f>F26/F6</f>
        <v>0.15598691538520892</v>
      </c>
      <c r="G27" s="108">
        <f>G26/G6</f>
        <v>0.14371270078063367</v>
      </c>
      <c r="H27" s="108">
        <f>H26/H6</f>
        <v>0.14147633657178563</v>
      </c>
      <c r="I27" s="108">
        <f>I26/I6</f>
        <v>0.15678254550017517</v>
      </c>
      <c r="J27" s="108">
        <f>J26/J6</f>
        <v>0.16122233887256188</v>
      </c>
      <c r="K27" s="108">
        <f>K26/K6</f>
        <v>0.16407148754848638</v>
      </c>
      <c r="L27" s="108">
        <f>L26/L6</f>
        <v>0.15308405241291143</v>
      </c>
    </row>
    <row r="28" spans="2:12" ht="15.75" customHeight="1" x14ac:dyDescent="0.2"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</row>
    <row r="29" spans="2:12" ht="15.75" customHeight="1" x14ac:dyDescent="0.2">
      <c r="B29" s="83" t="s">
        <v>386</v>
      </c>
      <c r="C29" s="111">
        <f>IFERROR('Data Sheet'!B93,0)</f>
        <v>192.8</v>
      </c>
      <c r="D29" s="111">
        <f>IFERROR('Data Sheet'!C93,0)</f>
        <v>192.8</v>
      </c>
      <c r="E29" s="111">
        <f>IFERROR('Data Sheet'!D93,0)</f>
        <v>192.8</v>
      </c>
      <c r="F29" s="111">
        <f>IFERROR('Data Sheet'!E93,0)</f>
        <v>192.8</v>
      </c>
      <c r="G29" s="111">
        <f>IFERROR('Data Sheet'!F93,0)</f>
        <v>192.8</v>
      </c>
      <c r="H29" s="111">
        <f>IFERROR('Data Sheet'!G93,0)</f>
        <v>192.8</v>
      </c>
      <c r="I29" s="111">
        <f>IFERROR('Data Sheet'!H93,0)</f>
        <v>192.8</v>
      </c>
      <c r="J29" s="111">
        <f>IFERROR('Data Sheet'!I93,0)</f>
        <v>192.83</v>
      </c>
      <c r="K29" s="111">
        <f>IFERROR('Data Sheet'!J93,0)</f>
        <v>192.83</v>
      </c>
      <c r="L29" s="111">
        <f>IFERROR('Data Sheet'!K93,0)</f>
        <v>192.83</v>
      </c>
    </row>
    <row r="30" spans="2:12" ht="15.75" customHeight="1" x14ac:dyDescent="0.2"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</row>
    <row r="31" spans="2:12" ht="15.75" customHeight="1" x14ac:dyDescent="0.2">
      <c r="B31" s="83" t="s">
        <v>387</v>
      </c>
      <c r="C31" s="104">
        <f>C26/C29</f>
        <v>6.3547199170124555</v>
      </c>
      <c r="D31" s="104">
        <f>D26/D29</f>
        <v>8.3346991701244839</v>
      </c>
      <c r="E31" s="104">
        <f>E26/E29</f>
        <v>10.209751037344395</v>
      </c>
      <c r="F31" s="104">
        <f>F26/F29</f>
        <v>10.800985477178427</v>
      </c>
      <c r="G31" s="104">
        <f>G26/G29</f>
        <v>10.987603734439837</v>
      </c>
      <c r="H31" s="104">
        <f>H26/H29</f>
        <v>12.398962655601652</v>
      </c>
      <c r="I31" s="104">
        <f>I26/I29</f>
        <v>15.553267634854771</v>
      </c>
      <c r="J31" s="104">
        <f>J26/J29</f>
        <v>20.395374163771187</v>
      </c>
      <c r="K31" s="104">
        <f>K26/K29</f>
        <v>17.188715448840952</v>
      </c>
      <c r="L31" s="104">
        <f>L26/L29</f>
        <v>18.381994502930034</v>
      </c>
    </row>
    <row r="32" spans="2:12" ht="15.75" customHeight="1" x14ac:dyDescent="0.2">
      <c r="B32" s="108" t="s">
        <v>388</v>
      </c>
      <c r="C32" s="108"/>
      <c r="D32" s="108">
        <f>IFERROR(C31/D31,0)</f>
        <v>0.76244142557547689</v>
      </c>
      <c r="E32" s="108">
        <f>IFERROR(D31/E31,0)</f>
        <v>0.81634695494909726</v>
      </c>
      <c r="F32" s="108">
        <f>IFERROR(E31/F31,0)</f>
        <v>0.94526106519786912</v>
      </c>
      <c r="G32" s="108">
        <f>IFERROR(F31/G31,0)</f>
        <v>0.98301556355946218</v>
      </c>
      <c r="H32" s="108">
        <f>IFERROR(G31/H31,0)</f>
        <v>0.88617120961129869</v>
      </c>
      <c r="I32" s="108">
        <f>IFERROR(H31/I31,0)</f>
        <v>0.7971934224172712</v>
      </c>
      <c r="J32" s="108">
        <f>IFERROR(I31/J31,0)</f>
        <v>0.76258800206188071</v>
      </c>
      <c r="K32" s="108">
        <f>IFERROR(J31/K31,0)</f>
        <v>1.1865560416352383</v>
      </c>
      <c r="L32" s="108">
        <f>IFERROR(K31/L31,0)</f>
        <v>0.93508435366473008</v>
      </c>
    </row>
    <row r="33" spans="1:12" ht="15.75" customHeight="1" x14ac:dyDescent="0.2">
      <c r="B33" s="83" t="s">
        <v>389</v>
      </c>
      <c r="C33" s="104">
        <f>IFERROR('Data Sheet'!B31/'Historical FS'!C29,0)</f>
        <v>4.3008817427385893</v>
      </c>
      <c r="D33" s="104">
        <f>IFERROR('Data Sheet'!C31/'Historical FS'!D29,0)</f>
        <v>5.7511929460580902</v>
      </c>
      <c r="E33" s="104">
        <f>IFERROR('Data Sheet'!D31/'Historical FS'!E29,0)</f>
        <v>17.103526970954356</v>
      </c>
      <c r="F33" s="104">
        <f>IFERROR('Data Sheet'!E31/'Historical FS'!F29,0)</f>
        <v>10.00207468879668</v>
      </c>
      <c r="G33" s="104">
        <f>IFERROR('Data Sheet'!F31/'Historical FS'!G29,0)</f>
        <v>10.00207468879668</v>
      </c>
      <c r="H33" s="104">
        <f>IFERROR('Data Sheet'!G31/'Historical FS'!H29,0)</f>
        <v>11.002282157676348</v>
      </c>
      <c r="I33" s="104">
        <f>IFERROR('Data Sheet'!H31/'Historical FS'!I29,0)</f>
        <v>8.7018153526970945</v>
      </c>
      <c r="J33" s="104">
        <f>IFERROR('Data Sheet'!I31/'Historical FS'!J29,0)</f>
        <v>16.100814188663588</v>
      </c>
      <c r="K33" s="104">
        <f>IFERROR('Data Sheet'!J31/'Historical FS'!K29,0)</f>
        <v>13.500700098532386</v>
      </c>
      <c r="L33" s="104">
        <f>IFERROR('Data Sheet'!K31/'Historical FS'!L29,0)</f>
        <v>12</v>
      </c>
    </row>
    <row r="34" spans="1:12" ht="15.75" customHeight="1" x14ac:dyDescent="0.2">
      <c r="B34" s="108" t="s">
        <v>390</v>
      </c>
      <c r="C34" s="108">
        <f>IFERROR(C33/C31,0)</f>
        <v>0.67680114920950962</v>
      </c>
      <c r="D34" s="108">
        <f>IFERROR(D33/D31,0)</f>
        <v>0.69003005731425726</v>
      </c>
      <c r="E34" s="108">
        <f>IFERROR(E33/E31,0)</f>
        <v>1.6752148909796594</v>
      </c>
      <c r="F34" s="108">
        <f>IFERROR(F33/F31,0)</f>
        <v>0.92603352813780015</v>
      </c>
      <c r="G34" s="108">
        <f>IFERROR(G33/G31,0)</f>
        <v>0.91030537053733673</v>
      </c>
      <c r="H34" s="108">
        <f>IFERROR(H33/H31,0)</f>
        <v>0.88735505245720647</v>
      </c>
      <c r="I34" s="108">
        <f>IFERROR(I33/I31,0)</f>
        <v>0.55948470488583268</v>
      </c>
      <c r="J34" s="108">
        <f>IFERROR(J33/J31,0)</f>
        <v>0.78943460705241031</v>
      </c>
      <c r="K34" s="108">
        <f>IFERROR(K33/K31,0)</f>
        <v>0.78543973449992432</v>
      </c>
      <c r="L34" s="108">
        <f>IFERROR(L33/L31,0)</f>
        <v>0.65281272922191536</v>
      </c>
    </row>
    <row r="35" spans="1:12" ht="15.75" customHeight="1" x14ac:dyDescent="0.2">
      <c r="B35" s="83" t="s">
        <v>391</v>
      </c>
      <c r="C35" s="84">
        <f>IFERROR(IF(C31&gt;C33,1-C34,0),0)</f>
        <v>0.32319885079049038</v>
      </c>
      <c r="D35" s="84">
        <f>IFERROR(IF(D31&gt;D33,1-D34,0),0)</f>
        <v>0.30996994268574274</v>
      </c>
      <c r="E35" s="84">
        <f>IFERROR(IF(E31&gt;E33,1-E34,0),0)</f>
        <v>0</v>
      </c>
      <c r="F35" s="84">
        <f>IFERROR(IF(F31&gt;F33,1-F34,0),0)</f>
        <v>7.3966471862199845E-2</v>
      </c>
      <c r="G35" s="84">
        <f>IFERROR(IF(G31&gt;G33,1-G34,0),0)</f>
        <v>8.9694629462663267E-2</v>
      </c>
      <c r="H35" s="84">
        <f>IFERROR(IF(H31&gt;H33,1-H34,0),0)</f>
        <v>0.11264494754279353</v>
      </c>
      <c r="I35" s="84">
        <f>IFERROR(IF(I31&gt;I33,1-I34,0),0)</f>
        <v>0.44051529511416732</v>
      </c>
      <c r="J35" s="84">
        <f>IFERROR(IF(J31&gt;J33,1-J34,0),0)</f>
        <v>0.21056539294758969</v>
      </c>
      <c r="K35" s="84">
        <f>IFERROR(IF(K31&gt;K33,1-K34,0),0)</f>
        <v>0.21456026550007568</v>
      </c>
      <c r="L35" s="84">
        <f>IFERROR(IF(L31&gt;L33,1-L34,0),0)</f>
        <v>0.34718727077808464</v>
      </c>
    </row>
    <row r="36" spans="1:12" ht="15.75" customHeight="1" x14ac:dyDescent="0.15"/>
    <row r="37" spans="1:12" ht="15.75" customHeight="1" x14ac:dyDescent="0.15"/>
    <row r="38" spans="1:12" ht="15.75" customHeight="1" x14ac:dyDescent="0.2">
      <c r="A38" s="15" t="s">
        <v>369</v>
      </c>
      <c r="B38" s="40" t="s">
        <v>392</v>
      </c>
      <c r="C38" s="78"/>
      <c r="D38" s="78"/>
      <c r="E38" s="78"/>
      <c r="F38" s="78"/>
      <c r="G38" s="78"/>
      <c r="H38" s="78"/>
      <c r="I38" s="78"/>
      <c r="J38" s="78"/>
      <c r="K38" s="78"/>
      <c r="L38" s="78"/>
    </row>
    <row r="39" spans="1:12" ht="15.75" customHeight="1" x14ac:dyDescent="0.2">
      <c r="B39" s="83" t="s">
        <v>319</v>
      </c>
      <c r="C39" s="104">
        <f>IFERROR('Data Sheet'!B57,0)</f>
        <v>96.42</v>
      </c>
      <c r="D39" s="104">
        <f>IFERROR('Data Sheet'!C57,0)</f>
        <v>96.42</v>
      </c>
      <c r="E39" s="104">
        <f>IFERROR('Data Sheet'!D57,0)</f>
        <v>96.42</v>
      </c>
      <c r="F39" s="104">
        <f>IFERROR('Data Sheet'!E57,0)</f>
        <v>96.42</v>
      </c>
      <c r="G39" s="104">
        <f>IFERROR('Data Sheet'!F57,0)</f>
        <v>96.42</v>
      </c>
      <c r="H39" s="104">
        <f>IFERROR('Data Sheet'!G57,0)</f>
        <v>96.42</v>
      </c>
      <c r="I39" s="104">
        <f>IFERROR('Data Sheet'!H57,0)</f>
        <v>96.42</v>
      </c>
      <c r="J39" s="104">
        <f>IFERROR('Data Sheet'!I57,0)</f>
        <v>96.42</v>
      </c>
      <c r="K39" s="104">
        <f>IFERROR('Data Sheet'!J57,0)</f>
        <v>96.42</v>
      </c>
      <c r="L39" s="104">
        <f>IFERROR('Data Sheet'!K57,0)</f>
        <v>192.83</v>
      </c>
    </row>
    <row r="40" spans="1:12" ht="15.75" customHeight="1" x14ac:dyDescent="0.2">
      <c r="B40" s="83" t="s">
        <v>320</v>
      </c>
      <c r="C40" s="104">
        <f>IFERROR('Data Sheet'!B58,0)</f>
        <v>3324.17</v>
      </c>
      <c r="D40" s="104">
        <f>IFERROR('Data Sheet'!C58,0)</f>
        <v>3577.32</v>
      </c>
      <c r="E40" s="104">
        <f>IFERROR('Data Sheet'!D58,0)</f>
        <v>1822.45</v>
      </c>
      <c r="F40" s="104">
        <f>IFERROR('Data Sheet'!E58,0)</f>
        <v>1922.92</v>
      </c>
      <c r="G40" s="104">
        <f>IFERROR('Data Sheet'!F58,0)</f>
        <v>1849.96</v>
      </c>
      <c r="H40" s="104">
        <f>IFERROR('Data Sheet'!G58,0)</f>
        <v>2362.75</v>
      </c>
      <c r="I40" s="104">
        <f>IFERROR('Data Sheet'!H58,0)</f>
        <v>2362.75</v>
      </c>
      <c r="J40" s="104">
        <f>IFERROR('Data Sheet'!I58,0)</f>
        <v>3244.47</v>
      </c>
      <c r="K40" s="104">
        <f>IFERROR('Data Sheet'!J58,0)</f>
        <v>4020.73</v>
      </c>
      <c r="L40" s="104">
        <f>IFERROR('Data Sheet'!K58,0)</f>
        <v>5116.41</v>
      </c>
    </row>
    <row r="41" spans="1:12" ht="15.75" customHeight="1" x14ac:dyDescent="0.2">
      <c r="B41" s="83" t="s">
        <v>321</v>
      </c>
      <c r="C41" s="104">
        <f>IFERROR('Data Sheet'!B59,0)</f>
        <v>35.14</v>
      </c>
      <c r="D41" s="104">
        <f>IFERROR('Data Sheet'!C59,0)</f>
        <v>35.14</v>
      </c>
      <c r="E41" s="104">
        <f>IFERROR('Data Sheet'!D59,0)</f>
        <v>188.94</v>
      </c>
      <c r="F41" s="104">
        <f>IFERROR('Data Sheet'!E59,0)</f>
        <v>147.49</v>
      </c>
      <c r="G41" s="104">
        <f>IFERROR('Data Sheet'!F59,0)</f>
        <v>266.45999999999998</v>
      </c>
      <c r="H41" s="104">
        <f>IFERROR('Data Sheet'!G59,0)</f>
        <v>270.52</v>
      </c>
      <c r="I41" s="104">
        <f>IFERROR('Data Sheet'!H59,0)</f>
        <v>270.52</v>
      </c>
      <c r="J41" s="104">
        <f>IFERROR('Data Sheet'!I59,0)</f>
        <v>344.53</v>
      </c>
      <c r="K41" s="104">
        <f>IFERROR('Data Sheet'!J59,0)</f>
        <v>1166.8499999999999</v>
      </c>
      <c r="L41" s="104">
        <f>IFERROR('Data Sheet'!K59,0)</f>
        <v>444.16</v>
      </c>
    </row>
    <row r="42" spans="1:12" ht="15.75" customHeight="1" x14ac:dyDescent="0.2">
      <c r="B42" s="83" t="s">
        <v>322</v>
      </c>
      <c r="C42" s="104">
        <f>IFERROR('Data Sheet'!B60,0)</f>
        <v>3906.86</v>
      </c>
      <c r="D42" s="104">
        <f>IFERROR('Data Sheet'!C60,0)</f>
        <v>4379.2</v>
      </c>
      <c r="E42" s="104">
        <f>IFERROR('Data Sheet'!D60,0)</f>
        <v>5065.13</v>
      </c>
      <c r="F42" s="104">
        <f>IFERROR('Data Sheet'!E60,0)</f>
        <v>5732.9</v>
      </c>
      <c r="G42" s="104">
        <f>IFERROR('Data Sheet'!F60,0)</f>
        <v>6021.29</v>
      </c>
      <c r="H42" s="104">
        <f>IFERROR('Data Sheet'!G60,0)</f>
        <v>6249.05</v>
      </c>
      <c r="I42" s="104">
        <f>IFERROR('Data Sheet'!H60,0)</f>
        <v>6249.05</v>
      </c>
      <c r="J42" s="104">
        <f>IFERROR('Data Sheet'!I60,0)</f>
        <v>6837.64</v>
      </c>
      <c r="K42" s="104">
        <f>IFERROR('Data Sheet'!J60,0)</f>
        <v>7039.89</v>
      </c>
      <c r="L42" s="104">
        <f>IFERROR('Data Sheet'!K60,0)</f>
        <v>7603.77</v>
      </c>
    </row>
    <row r="43" spans="1:12" ht="15.75" customHeight="1" x14ac:dyDescent="0.2">
      <c r="B43" s="85" t="s">
        <v>323</v>
      </c>
      <c r="C43" s="109">
        <f>IFERROR('Data Sheet'!B61,0)</f>
        <v>7362.59</v>
      </c>
      <c r="D43" s="109">
        <f>IFERROR('Data Sheet'!C61,0)</f>
        <v>8088.08</v>
      </c>
      <c r="E43" s="109">
        <f>IFERROR('Data Sheet'!D61,0)</f>
        <v>7172.94</v>
      </c>
      <c r="F43" s="109">
        <f>IFERROR('Data Sheet'!E61,0)</f>
        <v>7899.73</v>
      </c>
      <c r="G43" s="109">
        <f>IFERROR('Data Sheet'!F61,0)</f>
        <v>8234.1299999999992</v>
      </c>
      <c r="H43" s="109">
        <f>IFERROR('Data Sheet'!G61,0)</f>
        <v>8978.74</v>
      </c>
      <c r="I43" s="109">
        <f>IFERROR('Data Sheet'!H61,0)</f>
        <v>8978.74</v>
      </c>
      <c r="J43" s="109">
        <f>IFERROR('Data Sheet'!I61,0)</f>
        <v>10523.06</v>
      </c>
      <c r="K43" s="109">
        <f>IFERROR('Data Sheet'!J61,0)</f>
        <v>12323.89</v>
      </c>
      <c r="L43" s="109">
        <f>IFERROR('Data Sheet'!K61,0)</f>
        <v>13357.17</v>
      </c>
    </row>
    <row r="44" spans="1:12" ht="15.75" customHeight="1" x14ac:dyDescent="0.2"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</row>
    <row r="45" spans="1:12" ht="15.75" customHeight="1" x14ac:dyDescent="0.2">
      <c r="B45" s="83" t="s">
        <v>324</v>
      </c>
      <c r="C45" s="104">
        <f>IFERROR('Data Sheet'!B62,0)</f>
        <v>2616.1799999999998</v>
      </c>
      <c r="D45" s="104">
        <f>IFERROR('Data Sheet'!C62,0)</f>
        <v>2400.62</v>
      </c>
      <c r="E45" s="104">
        <f>IFERROR('Data Sheet'!D62,0)</f>
        <v>2341.4499999999998</v>
      </c>
      <c r="F45" s="104">
        <f>IFERROR('Data Sheet'!E62,0)</f>
        <v>2179.41</v>
      </c>
      <c r="G45" s="104">
        <f>IFERROR('Data Sheet'!F62,0)</f>
        <v>2994.67</v>
      </c>
      <c r="H45" s="104">
        <f>IFERROR('Data Sheet'!G62,0)</f>
        <v>3043.7</v>
      </c>
      <c r="I45" s="104">
        <f>IFERROR('Data Sheet'!H62,0)</f>
        <v>3043.7</v>
      </c>
      <c r="J45" s="104">
        <f>IFERROR('Data Sheet'!I62,0)</f>
        <v>3460.25</v>
      </c>
      <c r="K45" s="104">
        <f>IFERROR('Data Sheet'!J62,0)</f>
        <v>5473.61</v>
      </c>
      <c r="L45" s="104">
        <f>IFERROR('Data Sheet'!K62,0)</f>
        <v>6290.42</v>
      </c>
    </row>
    <row r="46" spans="1:12" ht="15.75" customHeight="1" x14ac:dyDescent="0.2">
      <c r="B46" s="83" t="s">
        <v>325</v>
      </c>
      <c r="C46" s="104">
        <f>IFERROR('Data Sheet'!B63,0)</f>
        <v>94.16</v>
      </c>
      <c r="D46" s="104">
        <f>IFERROR('Data Sheet'!C63,0)</f>
        <v>105.2</v>
      </c>
      <c r="E46" s="104">
        <f>IFERROR('Data Sheet'!D63,0)</f>
        <v>143.30000000000001</v>
      </c>
      <c r="F46" s="104">
        <f>IFERROR('Data Sheet'!E63,0)</f>
        <v>638.58000000000004</v>
      </c>
      <c r="G46" s="104">
        <f>IFERROR('Data Sheet'!F63,0)</f>
        <v>246.23</v>
      </c>
      <c r="H46" s="104">
        <f>IFERROR('Data Sheet'!G63,0)</f>
        <v>358.36</v>
      </c>
      <c r="I46" s="104">
        <f>IFERROR('Data Sheet'!H63,0)</f>
        <v>358.36</v>
      </c>
      <c r="J46" s="104">
        <f>IFERROR('Data Sheet'!I63,0)</f>
        <v>1741.71</v>
      </c>
      <c r="K46" s="104">
        <f>IFERROR('Data Sheet'!J63,0)</f>
        <v>1172.56</v>
      </c>
      <c r="L46" s="104">
        <f>IFERROR('Data Sheet'!K63,0)</f>
        <v>506.98</v>
      </c>
    </row>
    <row r="47" spans="1:12" ht="15.75" customHeight="1" x14ac:dyDescent="0.2">
      <c r="B47" s="83" t="s">
        <v>326</v>
      </c>
      <c r="C47" s="104">
        <f>IFERROR('Data Sheet'!B64,0)</f>
        <v>1978.87</v>
      </c>
      <c r="D47" s="104">
        <f>IFERROR('Data Sheet'!C64,0)</f>
        <v>2658.49</v>
      </c>
      <c r="E47" s="104">
        <f>IFERROR('Data Sheet'!D64,0)</f>
        <v>1751.05</v>
      </c>
      <c r="F47" s="104">
        <f>IFERROR('Data Sheet'!E64,0)</f>
        <v>1463.77</v>
      </c>
      <c r="G47" s="104">
        <f>IFERROR('Data Sheet'!F64,0)</f>
        <v>773.98</v>
      </c>
      <c r="H47" s="104">
        <f>IFERROR('Data Sheet'!G64,0)</f>
        <v>777.54</v>
      </c>
      <c r="I47" s="104">
        <f>IFERROR('Data Sheet'!H64,0)</f>
        <v>777.54</v>
      </c>
      <c r="J47" s="104">
        <f>IFERROR('Data Sheet'!I64,0)</f>
        <v>463.87</v>
      </c>
      <c r="K47" s="104">
        <f>IFERROR('Data Sheet'!J64,0)</f>
        <v>705.6</v>
      </c>
      <c r="L47" s="104">
        <f>IFERROR('Data Sheet'!K64,0)</f>
        <v>705.6</v>
      </c>
    </row>
    <row r="48" spans="1:12" ht="15.75" customHeight="1" x14ac:dyDescent="0.2">
      <c r="B48" s="83" t="s">
        <v>327</v>
      </c>
      <c r="C48" s="104">
        <f>IFERROR('Data Sheet'!B65-SUM('Data Sheet'!B67:B69,0),0)</f>
        <v>224.51999999999998</v>
      </c>
      <c r="D48" s="104">
        <f>IFERROR('Data Sheet'!C65-SUM('Data Sheet'!C67:C69,0),0)</f>
        <v>223.57000000000016</v>
      </c>
      <c r="E48" s="104">
        <f>IFERROR('Data Sheet'!D65-SUM('Data Sheet'!D67:D69,0),0)</f>
        <v>221.69000000000005</v>
      </c>
      <c r="F48" s="104">
        <f>IFERROR('Data Sheet'!E65-SUM('Data Sheet'!E67:E69,0),0)</f>
        <v>266.69000000000005</v>
      </c>
      <c r="G48" s="104">
        <f>IFERROR('Data Sheet'!F65-SUM('Data Sheet'!F67:F69,0),0)</f>
        <v>1725.2199999999998</v>
      </c>
      <c r="H48" s="104">
        <f>IFERROR('Data Sheet'!G65-SUM('Data Sheet'!G67:G69,0),0)</f>
        <v>1732.9300000000003</v>
      </c>
      <c r="I48" s="104">
        <f>IFERROR('Data Sheet'!H65-SUM('Data Sheet'!H67:H69,0),0)</f>
        <v>1732.9300000000003</v>
      </c>
      <c r="J48" s="104">
        <f>IFERROR('Data Sheet'!I65-SUM('Data Sheet'!I67:I69,0),0)</f>
        <v>1688.5599999999995</v>
      </c>
      <c r="K48" s="104">
        <f>IFERROR('Data Sheet'!J65-SUM('Data Sheet'!J67:J69,0),0)</f>
        <v>1663.1799999999998</v>
      </c>
      <c r="L48" s="104">
        <f>IFERROR('Data Sheet'!K65-SUM('Data Sheet'!K67:K69,0),0)</f>
        <v>1614.6100000000006</v>
      </c>
    </row>
    <row r="49" spans="1:12" ht="15.75" customHeight="1" x14ac:dyDescent="0.2">
      <c r="B49" s="85" t="s">
        <v>328</v>
      </c>
      <c r="C49" s="109">
        <f>SUM(C45:C48)</f>
        <v>4913.7299999999996</v>
      </c>
      <c r="D49" s="109">
        <f>SUM(D45:D48)</f>
        <v>5387.8799999999992</v>
      </c>
      <c r="E49" s="109">
        <f>SUM(E45:E48)</f>
        <v>4457.49</v>
      </c>
      <c r="F49" s="109">
        <f>SUM(F45:F48)</f>
        <v>4548.4500000000007</v>
      </c>
      <c r="G49" s="109">
        <f>SUM(G45:G48)</f>
        <v>5740.1</v>
      </c>
      <c r="H49" s="109">
        <f>SUM(H45:H48)</f>
        <v>5912.5300000000007</v>
      </c>
      <c r="I49" s="109">
        <f>SUM(I45:I48)</f>
        <v>5912.5300000000007</v>
      </c>
      <c r="J49" s="109">
        <f>SUM(J45:J48)</f>
        <v>7354.3899999999994</v>
      </c>
      <c r="K49" s="109">
        <f>SUM(K45:K48)</f>
        <v>9014.9500000000007</v>
      </c>
      <c r="L49" s="109">
        <f>SUM(L45:L48)</f>
        <v>9117.61</v>
      </c>
    </row>
    <row r="50" spans="1:12" ht="15.75" customHeight="1" x14ac:dyDescent="0.2"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</row>
    <row r="51" spans="1:12" ht="15.75" customHeight="1" x14ac:dyDescent="0.2">
      <c r="B51" s="83" t="s">
        <v>329</v>
      </c>
      <c r="C51" s="104">
        <f>IFERROR('Data Sheet'!B67,0)</f>
        <v>88.97</v>
      </c>
      <c r="D51" s="104">
        <f>IFERROR('Data Sheet'!C67,0)</f>
        <v>124.59</v>
      </c>
      <c r="E51" s="104">
        <f>IFERROR('Data Sheet'!D67,0)</f>
        <v>124.33</v>
      </c>
      <c r="F51" s="104">
        <f>IFERROR('Data Sheet'!E67,0)</f>
        <v>164.93</v>
      </c>
      <c r="G51" s="104">
        <f>IFERROR('Data Sheet'!F67,0)</f>
        <v>165.97</v>
      </c>
      <c r="H51" s="104">
        <f>IFERROR('Data Sheet'!G67,0)</f>
        <v>191.89</v>
      </c>
      <c r="I51" s="104">
        <f>IFERROR('Data Sheet'!H67,0)</f>
        <v>191.89</v>
      </c>
      <c r="J51" s="104">
        <f>IFERROR('Data Sheet'!I67,0)</f>
        <v>300.45999999999998</v>
      </c>
      <c r="K51" s="104">
        <f>IFERROR('Data Sheet'!J67,0)</f>
        <v>363.15</v>
      </c>
      <c r="L51" s="104">
        <f>IFERROR('Data Sheet'!K67,0)</f>
        <v>329.47</v>
      </c>
    </row>
    <row r="52" spans="1:12" ht="15.75" customHeight="1" x14ac:dyDescent="0.2">
      <c r="B52" s="83" t="s">
        <v>330</v>
      </c>
      <c r="C52" s="104">
        <f>IFERROR('Data Sheet'!B68,0)</f>
        <v>902.47</v>
      </c>
      <c r="D52" s="104">
        <f>IFERROR('Data Sheet'!C68,0)</f>
        <v>965.55</v>
      </c>
      <c r="E52" s="104">
        <f>IFERROR('Data Sheet'!D68,0)</f>
        <v>1283.07</v>
      </c>
      <c r="F52" s="104">
        <f>IFERROR('Data Sheet'!E68,0)</f>
        <v>1416.48</v>
      </c>
      <c r="G52" s="104">
        <f>IFERROR('Data Sheet'!F68,0)</f>
        <v>1592.65</v>
      </c>
      <c r="H52" s="104">
        <f>IFERROR('Data Sheet'!G68,0)</f>
        <v>1928.77</v>
      </c>
      <c r="I52" s="104">
        <f>IFERROR('Data Sheet'!H68,0)</f>
        <v>1928.77</v>
      </c>
      <c r="J52" s="104">
        <f>IFERROR('Data Sheet'!I68,0)</f>
        <v>2089.36</v>
      </c>
      <c r="K52" s="104">
        <f>IFERROR('Data Sheet'!J68,0)</f>
        <v>2850.14</v>
      </c>
      <c r="L52" s="104">
        <f>IFERROR('Data Sheet'!K68,0)</f>
        <v>2569.2199999999998</v>
      </c>
    </row>
    <row r="53" spans="1:12" ht="15.75" customHeight="1" x14ac:dyDescent="0.2">
      <c r="B53" s="83" t="s">
        <v>331</v>
      </c>
      <c r="C53" s="104">
        <f>IFERROR('Data Sheet'!B69,0)</f>
        <v>1457.42</v>
      </c>
      <c r="D53" s="104">
        <f>IFERROR('Data Sheet'!C69,0)</f>
        <v>1610.06</v>
      </c>
      <c r="E53" s="104">
        <f>IFERROR('Data Sheet'!D69,0)</f>
        <v>1308.05</v>
      </c>
      <c r="F53" s="104">
        <f>IFERROR('Data Sheet'!E69,0)</f>
        <v>1769.87</v>
      </c>
      <c r="G53" s="104">
        <f>IFERROR('Data Sheet'!F69,0)</f>
        <v>735.41</v>
      </c>
      <c r="H53" s="104">
        <f>IFERROR('Data Sheet'!G69,0)</f>
        <v>945.55</v>
      </c>
      <c r="I53" s="104">
        <f>IFERROR('Data Sheet'!H69,0)</f>
        <v>945.55</v>
      </c>
      <c r="J53" s="104">
        <f>IFERROR('Data Sheet'!I69,0)</f>
        <v>778.85</v>
      </c>
      <c r="K53" s="104">
        <f>IFERROR('Data Sheet'!J69,0)</f>
        <v>95.65</v>
      </c>
      <c r="L53" s="104">
        <f>IFERROR('Data Sheet'!K69,0)</f>
        <v>1340.87</v>
      </c>
    </row>
    <row r="54" spans="1:12" ht="15.75" customHeight="1" x14ac:dyDescent="0.2">
      <c r="B54" s="85" t="s">
        <v>332</v>
      </c>
      <c r="C54" s="109">
        <f>SUM(C51:C53)</f>
        <v>2448.86</v>
      </c>
      <c r="D54" s="109">
        <f>SUM(D51:D53)</f>
        <v>2700.2</v>
      </c>
      <c r="E54" s="109">
        <f>SUM(E51:E53)</f>
        <v>2715.45</v>
      </c>
      <c r="F54" s="109">
        <f>SUM(F51:F53)</f>
        <v>3351.2799999999997</v>
      </c>
      <c r="G54" s="109">
        <f>SUM(G51:G53)</f>
        <v>2494.0300000000002</v>
      </c>
      <c r="H54" s="109">
        <f>SUM(H51:H53)</f>
        <v>3066.21</v>
      </c>
      <c r="I54" s="109">
        <f>SUM(I51:I53)</f>
        <v>3066.21</v>
      </c>
      <c r="J54" s="109">
        <f>SUM(J51:J53)</f>
        <v>3168.67</v>
      </c>
      <c r="K54" s="109">
        <f>SUM(K51:K53)</f>
        <v>3308.94</v>
      </c>
      <c r="L54" s="109">
        <f>SUM(L51:L53)</f>
        <v>4239.5599999999995</v>
      </c>
    </row>
    <row r="55" spans="1:12" ht="15.75" customHeight="1" x14ac:dyDescent="0.2"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</row>
    <row r="56" spans="1:12" ht="15.75" customHeight="1" x14ac:dyDescent="0.2">
      <c r="B56" s="85" t="s">
        <v>333</v>
      </c>
      <c r="C56" s="109">
        <f>SUM(C49,C54)</f>
        <v>7362.59</v>
      </c>
      <c r="D56" s="109">
        <f>SUM(D49,D54)</f>
        <v>8088.079999999999</v>
      </c>
      <c r="E56" s="109">
        <f>SUM(E49,E54)</f>
        <v>7172.94</v>
      </c>
      <c r="F56" s="109">
        <f>SUM(F49,F54)</f>
        <v>7899.7300000000005</v>
      </c>
      <c r="G56" s="109">
        <f>SUM(G49,G54)</f>
        <v>8234.130000000001</v>
      </c>
      <c r="H56" s="109">
        <f>SUM(H49,H54)</f>
        <v>8978.7400000000016</v>
      </c>
      <c r="I56" s="109">
        <f>SUM(I49,I54)</f>
        <v>8978.7400000000016</v>
      </c>
      <c r="J56" s="109">
        <f>SUM(J49,J54)</f>
        <v>10523.06</v>
      </c>
      <c r="K56" s="109">
        <f>SUM(K49,K54)</f>
        <v>12323.890000000001</v>
      </c>
      <c r="L56" s="109">
        <f>SUM(L49,L54)</f>
        <v>13357.17</v>
      </c>
    </row>
    <row r="57" spans="1:12" ht="15.75" customHeight="1" x14ac:dyDescent="0.2">
      <c r="B57" s="85" t="s">
        <v>163</v>
      </c>
      <c r="C57" s="112" t="b">
        <f>IF(C56=C43,TRUE(),FALSE())</f>
        <v>1</v>
      </c>
      <c r="D57" s="112" t="b">
        <f>IF(D56=D43,TRUE(),FALSE())</f>
        <v>1</v>
      </c>
      <c r="E57" s="112" t="b">
        <f>IF(E56=E43,TRUE(),FALSE())</f>
        <v>1</v>
      </c>
      <c r="F57" s="112" t="b">
        <f>IF(F56=F43,TRUE(),FALSE())</f>
        <v>1</v>
      </c>
      <c r="G57" s="112" t="b">
        <f>IF(G56=G43,TRUE(),FALSE())</f>
        <v>1</v>
      </c>
      <c r="H57" s="112" t="b">
        <f>IF(H56=H43,TRUE(),FALSE())</f>
        <v>1</v>
      </c>
      <c r="I57" s="112" t="b">
        <f>IF(I56=I43,TRUE(),FALSE())</f>
        <v>1</v>
      </c>
      <c r="J57" s="112" t="b">
        <f>IF(J56=J43,TRUE(),FALSE())</f>
        <v>1</v>
      </c>
      <c r="K57" s="112" t="b">
        <f>IF(K56=K43,TRUE(),FALSE())</f>
        <v>1</v>
      </c>
      <c r="L57" s="112" t="b">
        <f>IF(L56=L43,TRUE(),FALSE())</f>
        <v>1</v>
      </c>
    </row>
    <row r="58" spans="1:12" ht="15.75" customHeight="1" x14ac:dyDescent="0.15"/>
    <row r="59" spans="1:12" ht="15.75" customHeight="1" x14ac:dyDescent="0.2">
      <c r="A59" s="15" t="s">
        <v>369</v>
      </c>
      <c r="B59" s="78" t="s">
        <v>393</v>
      </c>
      <c r="C59" s="78"/>
      <c r="D59" s="78"/>
      <c r="E59" s="78"/>
      <c r="F59" s="78"/>
      <c r="G59" s="78"/>
      <c r="H59" s="78"/>
      <c r="I59" s="78"/>
      <c r="J59" s="78"/>
      <c r="K59" s="78"/>
      <c r="L59" s="78"/>
    </row>
    <row r="60" spans="1:12" ht="15.75" customHeight="1" x14ac:dyDescent="0.2">
      <c r="B60" s="38"/>
    </row>
    <row r="61" spans="1:12" ht="15.75" customHeight="1" x14ac:dyDescent="0.2">
      <c r="C61" s="41"/>
      <c r="D61" s="41"/>
      <c r="E61" s="41"/>
      <c r="F61" s="41"/>
      <c r="G61" s="41"/>
      <c r="H61" s="41"/>
      <c r="I61" s="41"/>
      <c r="J61" s="41"/>
      <c r="K61" s="41"/>
      <c r="L61" s="41"/>
    </row>
    <row r="62" spans="1:12" ht="15.75" customHeight="1" x14ac:dyDescent="0.2">
      <c r="B62" s="83" t="s">
        <v>394</v>
      </c>
      <c r="C62" s="104">
        <f>IFERROR('Data Sheet'!B82,0)</f>
        <v>1817.79</v>
      </c>
      <c r="D62" s="104">
        <f>IFERROR('Data Sheet'!C82,0)</f>
        <v>2052.4499999999998</v>
      </c>
      <c r="E62" s="104">
        <f>IFERROR('Data Sheet'!D82,0)</f>
        <v>2295.25</v>
      </c>
      <c r="F62" s="104">
        <f>IFERROR('Data Sheet'!E82,0)</f>
        <v>2454.48</v>
      </c>
      <c r="G62" s="104">
        <f>IFERROR('Data Sheet'!F82,0)</f>
        <v>2236</v>
      </c>
      <c r="H62" s="104">
        <f>IFERROR('Data Sheet'!G82,0)</f>
        <v>2737.43</v>
      </c>
      <c r="I62" s="104">
        <f>IFERROR('Data Sheet'!H82,0)</f>
        <v>3392.19</v>
      </c>
      <c r="J62" s="104">
        <f>IFERROR('Data Sheet'!I82,0)</f>
        <v>4174.79</v>
      </c>
      <c r="K62" s="104">
        <f>IFERROR('Data Sheet'!J82,0)</f>
        <v>2934.53</v>
      </c>
      <c r="L62" s="104">
        <f>IFERROR('Data Sheet'!K82,0)</f>
        <v>5047.5600000000004</v>
      </c>
    </row>
    <row r="63" spans="1:12" ht="15.75" customHeight="1" x14ac:dyDescent="0.2">
      <c r="B63" s="83" t="s">
        <v>395</v>
      </c>
      <c r="C63" s="104">
        <f>IFERROR('Data Sheet'!B83,0)</f>
        <v>-130.56</v>
      </c>
      <c r="D63" s="104">
        <f>IFERROR('Data Sheet'!C83,0)</f>
        <v>-52.41</v>
      </c>
      <c r="E63" s="104">
        <f>IFERROR('Data Sheet'!D83,0)</f>
        <v>82.99</v>
      </c>
      <c r="F63" s="104">
        <f>IFERROR('Data Sheet'!E83,0)</f>
        <v>-321.45999999999998</v>
      </c>
      <c r="G63" s="104">
        <f>IFERROR('Data Sheet'!F83,0)</f>
        <v>-1920.33</v>
      </c>
      <c r="H63" s="104">
        <f>IFERROR('Data Sheet'!G83,0)</f>
        <v>-391.73</v>
      </c>
      <c r="I63" s="104">
        <f>IFERROR('Data Sheet'!H83,0)</f>
        <v>-926.99</v>
      </c>
      <c r="J63" s="104">
        <f>IFERROR('Data Sheet'!I83,0)</f>
        <v>-1237.42</v>
      </c>
      <c r="K63" s="104">
        <f>IFERROR('Data Sheet'!J83,0)</f>
        <v>-1810.9</v>
      </c>
      <c r="L63" s="104">
        <f>IFERROR('Data Sheet'!K83,0)</f>
        <v>-623.67999999999995</v>
      </c>
    </row>
    <row r="64" spans="1:12" ht="15.75" customHeight="1" x14ac:dyDescent="0.2">
      <c r="B64" s="83" t="s">
        <v>396</v>
      </c>
      <c r="C64" s="104">
        <f>IFERROR('Data Sheet'!B84,0)</f>
        <v>-996.62</v>
      </c>
      <c r="D64" s="104">
        <f>IFERROR('Data Sheet'!C84,0)</f>
        <v>-1317.42</v>
      </c>
      <c r="E64" s="104">
        <f>IFERROR('Data Sheet'!D84,0)</f>
        <v>-3601.53</v>
      </c>
      <c r="F64" s="104">
        <f>IFERROR('Data Sheet'!E84,0)</f>
        <v>-1955.89</v>
      </c>
      <c r="G64" s="104">
        <f>IFERROR('Data Sheet'!F84,0)</f>
        <v>-2019.97</v>
      </c>
      <c r="H64" s="104">
        <f>IFERROR('Data Sheet'!G84,0)</f>
        <v>-2122.7399999999998</v>
      </c>
      <c r="I64" s="104">
        <f>IFERROR('Data Sheet'!H84,0)</f>
        <v>-2436.4699999999998</v>
      </c>
      <c r="J64" s="104">
        <f>IFERROR('Data Sheet'!I84,0)</f>
        <v>-3134.92</v>
      </c>
      <c r="K64" s="104">
        <f>IFERROR('Data Sheet'!J84,0)</f>
        <v>-1846.3</v>
      </c>
      <c r="L64" s="104">
        <f>IFERROR('Data Sheet'!K84,0)</f>
        <v>-3179.49</v>
      </c>
    </row>
    <row r="65" spans="2:12" ht="15.75" customHeight="1" x14ac:dyDescent="0.2"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</row>
    <row r="66" spans="2:12" ht="15.75" customHeight="1" x14ac:dyDescent="0.2">
      <c r="B66" s="85" t="s">
        <v>397</v>
      </c>
      <c r="C66" s="109">
        <f>IFERROR('Data Sheet'!B85,0)</f>
        <v>690.61</v>
      </c>
      <c r="D66" s="109">
        <f>IFERROR('Data Sheet'!C85,0)</f>
        <v>682.62</v>
      </c>
      <c r="E66" s="109">
        <f>IFERROR('Data Sheet'!D85,0)</f>
        <v>-1223.29</v>
      </c>
      <c r="F66" s="109">
        <f>IFERROR('Data Sheet'!E85,0)</f>
        <v>177.13</v>
      </c>
      <c r="G66" s="109">
        <f>IFERROR('Data Sheet'!F85,0)</f>
        <v>-1704.3</v>
      </c>
      <c r="H66" s="109">
        <f>IFERROR('Data Sheet'!G85,0)</f>
        <v>222.96</v>
      </c>
      <c r="I66" s="109">
        <f>IFERROR('Data Sheet'!H85,0)</f>
        <v>28.73</v>
      </c>
      <c r="J66" s="109">
        <f>IFERROR('Data Sheet'!I85,0)</f>
        <v>-197.55</v>
      </c>
      <c r="K66" s="109">
        <f>IFERROR('Data Sheet'!J85,0)</f>
        <v>-722.67</v>
      </c>
      <c r="L66" s="109">
        <f>IFERROR('Data Sheet'!K85,0)</f>
        <v>1244.3900000000001</v>
      </c>
    </row>
    <row r="67" spans="2:12" ht="15.75" customHeight="1" x14ac:dyDescent="0.2">
      <c r="C67" s="41"/>
      <c r="D67" s="41"/>
      <c r="E67" s="41"/>
      <c r="F67" s="41"/>
      <c r="G67" s="41"/>
      <c r="H67" s="41"/>
      <c r="I67" s="41"/>
      <c r="J67" s="41"/>
      <c r="K67" s="41"/>
      <c r="L67" s="41"/>
    </row>
    <row r="68" spans="2:12" ht="15.75" customHeight="1" x14ac:dyDescent="0.2">
      <c r="B68" s="25" t="s">
        <v>398</v>
      </c>
      <c r="C68" s="41"/>
      <c r="D68" s="41"/>
      <c r="E68" s="41"/>
      <c r="F68" s="41"/>
      <c r="G68" s="41"/>
      <c r="H68" s="41"/>
      <c r="I68" s="41"/>
      <c r="J68" s="41"/>
      <c r="K68" s="41"/>
      <c r="L68" s="41"/>
    </row>
    <row r="69" spans="2:12" ht="15.75" customHeight="1" x14ac:dyDescent="0.2">
      <c r="C69" s="41"/>
      <c r="D69" s="41"/>
      <c r="E69" s="41"/>
      <c r="F69" s="41"/>
      <c r="G69" s="41"/>
      <c r="H69" s="41"/>
      <c r="I69" s="41"/>
      <c r="J69" s="41"/>
      <c r="K69" s="41"/>
      <c r="L69" s="41"/>
    </row>
    <row r="70" spans="2:12" ht="15.75" customHeight="1" x14ac:dyDescent="0.2">
      <c r="B70" s="38"/>
      <c r="C70" s="43"/>
      <c r="D70" s="43"/>
      <c r="E70" s="43"/>
      <c r="F70" s="43"/>
      <c r="G70" s="43"/>
      <c r="H70" s="43"/>
      <c r="I70" s="43"/>
      <c r="J70" s="43"/>
      <c r="K70" s="43"/>
      <c r="L70" s="43"/>
    </row>
    <row r="71" spans="2:12" ht="15.75" customHeight="1" x14ac:dyDescent="0.15"/>
    <row r="72" spans="2:12" ht="15.75" customHeight="1" x14ac:dyDescent="0.2">
      <c r="B72" s="38"/>
    </row>
    <row r="73" spans="2:12" ht="15.75" customHeight="1" x14ac:dyDescent="0.2">
      <c r="C73" s="41"/>
      <c r="D73" s="41"/>
      <c r="E73" s="41"/>
      <c r="F73" s="41"/>
      <c r="G73" s="41"/>
      <c r="H73" s="41"/>
      <c r="I73" s="41"/>
      <c r="J73" s="41"/>
      <c r="K73" s="41"/>
      <c r="L73" s="41"/>
    </row>
    <row r="74" spans="2:12" ht="15.75" customHeight="1" x14ac:dyDescent="0.2">
      <c r="C74" s="41"/>
      <c r="D74" s="41"/>
      <c r="E74" s="41"/>
      <c r="F74" s="41"/>
      <c r="G74" s="41"/>
      <c r="H74" s="41"/>
      <c r="I74" s="41"/>
      <c r="J74" s="41"/>
      <c r="K74" s="41"/>
      <c r="L74" s="41"/>
    </row>
    <row r="75" spans="2:12" ht="15.75" customHeight="1" x14ac:dyDescent="0.2"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2:12" ht="15.75" customHeight="1" x14ac:dyDescent="0.2">
      <c r="C76" s="41"/>
      <c r="D76" s="41"/>
      <c r="E76" s="41"/>
      <c r="F76" s="41"/>
      <c r="G76" s="41"/>
      <c r="H76" s="41"/>
      <c r="I76" s="41"/>
      <c r="J76" s="41"/>
      <c r="K76" s="41"/>
      <c r="L76" s="41"/>
    </row>
    <row r="77" spans="2:12" ht="15.75" customHeight="1" x14ac:dyDescent="0.2">
      <c r="C77" s="41"/>
      <c r="D77" s="41"/>
      <c r="E77" s="41"/>
      <c r="F77" s="41"/>
      <c r="G77" s="41"/>
      <c r="H77" s="41"/>
      <c r="I77" s="41"/>
      <c r="J77" s="41"/>
      <c r="K77" s="41"/>
      <c r="L77" s="41"/>
    </row>
    <row r="78" spans="2:12" ht="15.75" customHeight="1" x14ac:dyDescent="0.2">
      <c r="C78" s="41"/>
      <c r="D78" s="41"/>
      <c r="E78" s="41"/>
      <c r="F78" s="41"/>
      <c r="G78" s="41"/>
      <c r="H78" s="41"/>
      <c r="I78" s="41"/>
      <c r="J78" s="41"/>
      <c r="K78" s="41"/>
      <c r="L78" s="41"/>
    </row>
    <row r="79" spans="2:12" ht="15.75" customHeight="1" x14ac:dyDescent="0.2">
      <c r="C79" s="41"/>
      <c r="D79" s="41"/>
      <c r="E79" s="41"/>
      <c r="F79" s="41"/>
      <c r="G79" s="41"/>
      <c r="H79" s="41"/>
      <c r="I79" s="41"/>
      <c r="J79" s="41"/>
      <c r="K79" s="41"/>
      <c r="L79" s="41"/>
    </row>
    <row r="80" spans="2:12" ht="15.75" customHeight="1" x14ac:dyDescent="0.2"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2:12" ht="15.75" customHeight="1" x14ac:dyDescent="0.2">
      <c r="B81" s="38"/>
      <c r="C81" s="43"/>
      <c r="D81" s="43"/>
      <c r="E81" s="43"/>
      <c r="F81" s="43"/>
      <c r="G81" s="43"/>
      <c r="H81" s="43"/>
      <c r="I81" s="43"/>
      <c r="J81" s="43"/>
      <c r="K81" s="43"/>
      <c r="L81" s="43"/>
    </row>
    <row r="82" spans="2:12" ht="15.75" customHeight="1" x14ac:dyDescent="0.15"/>
    <row r="83" spans="2:12" ht="15.75" customHeight="1" x14ac:dyDescent="0.2">
      <c r="B83" s="38"/>
    </row>
    <row r="84" spans="2:12" ht="15.75" customHeight="1" x14ac:dyDescent="0.2">
      <c r="C84" s="41"/>
      <c r="D84" s="41"/>
      <c r="E84" s="41"/>
      <c r="F84" s="41"/>
      <c r="G84" s="41"/>
      <c r="H84" s="41"/>
      <c r="I84" s="41"/>
      <c r="J84" s="41"/>
      <c r="K84" s="41"/>
      <c r="L84" s="41"/>
    </row>
    <row r="85" spans="2:12" ht="15.75" customHeight="1" x14ac:dyDescent="0.2"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2:12" ht="15.75" customHeight="1" x14ac:dyDescent="0.2">
      <c r="C86" s="41"/>
      <c r="D86" s="41"/>
      <c r="E86" s="41"/>
      <c r="F86" s="41"/>
      <c r="G86" s="41"/>
      <c r="H86" s="41"/>
      <c r="I86" s="41"/>
      <c r="J86" s="41"/>
      <c r="K86" s="41"/>
      <c r="L86" s="41"/>
    </row>
    <row r="87" spans="2:12" ht="15.75" customHeight="1" x14ac:dyDescent="0.2">
      <c r="C87" s="41"/>
      <c r="D87" s="41"/>
      <c r="E87" s="41"/>
      <c r="F87" s="41"/>
      <c r="G87" s="41"/>
      <c r="H87" s="41"/>
      <c r="I87" s="41"/>
      <c r="J87" s="41"/>
      <c r="K87" s="41"/>
      <c r="L87" s="41"/>
    </row>
    <row r="88" spans="2:12" ht="15.75" customHeight="1" x14ac:dyDescent="0.2">
      <c r="C88" s="41"/>
      <c r="D88" s="41"/>
      <c r="E88" s="41"/>
      <c r="F88" s="41"/>
      <c r="G88" s="41"/>
      <c r="H88" s="41"/>
      <c r="I88" s="41"/>
      <c r="J88" s="41"/>
      <c r="K88" s="41"/>
      <c r="L88" s="41"/>
    </row>
    <row r="89" spans="2:12" ht="15.75" customHeight="1" x14ac:dyDescent="0.2">
      <c r="C89" s="41"/>
      <c r="D89" s="41"/>
      <c r="E89" s="41"/>
      <c r="F89" s="41"/>
      <c r="G89" s="41"/>
      <c r="H89" s="41"/>
      <c r="I89" s="41"/>
      <c r="J89" s="41"/>
      <c r="K89" s="41"/>
      <c r="L89" s="41"/>
    </row>
    <row r="90" spans="2:12" ht="15.75" customHeight="1" x14ac:dyDescent="0.2">
      <c r="C90" s="41"/>
      <c r="D90" s="41"/>
      <c r="E90" s="41"/>
      <c r="F90" s="41"/>
      <c r="G90" s="41"/>
      <c r="H90" s="41"/>
      <c r="I90" s="41"/>
      <c r="J90" s="41"/>
      <c r="K90" s="41"/>
      <c r="L90" s="41"/>
    </row>
    <row r="91" spans="2:12" ht="15.75" customHeight="1" x14ac:dyDescent="0.2">
      <c r="C91" s="41"/>
      <c r="D91" s="41"/>
      <c r="E91" s="41"/>
      <c r="F91" s="41"/>
      <c r="G91" s="41"/>
      <c r="H91" s="41"/>
      <c r="I91" s="41"/>
      <c r="J91" s="41"/>
      <c r="K91" s="41"/>
      <c r="L91" s="41"/>
    </row>
    <row r="92" spans="2:12" ht="15.75" customHeight="1" x14ac:dyDescent="0.2">
      <c r="C92" s="41"/>
      <c r="D92" s="41"/>
      <c r="E92" s="41"/>
      <c r="F92" s="41"/>
      <c r="G92" s="41"/>
      <c r="H92" s="41"/>
      <c r="I92" s="41"/>
      <c r="J92" s="41"/>
      <c r="K92" s="41"/>
      <c r="L92" s="41"/>
    </row>
    <row r="93" spans="2:12" ht="15.75" customHeight="1" x14ac:dyDescent="0.2">
      <c r="B93" s="38"/>
      <c r="C93" s="43"/>
      <c r="D93" s="43"/>
      <c r="E93" s="43"/>
      <c r="F93" s="43"/>
      <c r="G93" s="43"/>
      <c r="H93" s="43"/>
      <c r="I93" s="43"/>
      <c r="J93" s="43"/>
      <c r="K93" s="43"/>
      <c r="L93" s="43"/>
    </row>
    <row r="94" spans="2:12" ht="15.75" customHeight="1" x14ac:dyDescent="0.15"/>
    <row r="95" spans="2:12" ht="15.75" customHeight="1" x14ac:dyDescent="0.2">
      <c r="B95" s="38"/>
      <c r="C95" s="43"/>
      <c r="D95" s="43"/>
      <c r="E95" s="43"/>
      <c r="F95" s="43"/>
      <c r="G95" s="43"/>
      <c r="H95" s="43"/>
      <c r="I95" s="43"/>
      <c r="J95" s="43"/>
      <c r="K95" s="43"/>
      <c r="L95" s="43"/>
    </row>
    <row r="96" spans="2:12" ht="15.75" customHeight="1" x14ac:dyDescent="0.15"/>
    <row r="97" spans="2:12" ht="15.75" customHeight="1" x14ac:dyDescent="0.15"/>
    <row r="98" spans="2:12" ht="15.75" customHeight="1" x14ac:dyDescent="0.15"/>
    <row r="99" spans="2:12" ht="15.75" customHeight="1" x14ac:dyDescent="0.15"/>
    <row r="100" spans="2:12" ht="15.75" customHeight="1" x14ac:dyDescent="0.15"/>
    <row r="101" spans="2:12" ht="15.75" customHeight="1" x14ac:dyDescent="0.2">
      <c r="I101" s="105"/>
    </row>
    <row r="103" spans="2:12" ht="21.75" customHeight="1" x14ac:dyDescent="0.15">
      <c r="B103" s="121" t="s">
        <v>399</v>
      </c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</row>
  </sheetData>
  <mergeCells count="3">
    <mergeCell ref="B2:L2"/>
    <mergeCell ref="B4:L4"/>
    <mergeCell ref="B103:L103"/>
  </mergeCells>
  <pageMargins left="0.25" right="0.25" top="0.75" bottom="0.75" header="0.511811023622047" footer="0.511811023622047"/>
  <pageSetup fitToHeight="0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100"/>
  <sheetViews>
    <sheetView zoomScaleNormal="100" workbookViewId="0">
      <pane xSplit="1" ySplit="1" topLeftCell="B2" activePane="bottomRight" state="frozen"/>
      <selection pane="bottomLeft" activeCell="A2" sqref="A2"/>
      <selection pane="topRight" activeCell="B1" sqref="B1"/>
      <selection pane="bottomRight" activeCell="B2" sqref="B2"/>
    </sheetView>
  </sheetViews>
  <sheetFormatPr defaultColWidth="14.46484375" defaultRowHeight="13.5" x14ac:dyDescent="0.15"/>
  <cols>
    <col min="1" max="1" width="27.703125" style="15" customWidth="1"/>
    <col min="2" max="11" width="13.484375" style="15" customWidth="1"/>
  </cols>
  <sheetData>
    <row r="1" spans="1:11" ht="15" customHeight="1" x14ac:dyDescent="0.2">
      <c r="A1" s="113" t="s">
        <v>400</v>
      </c>
      <c r="B1" s="113" t="s">
        <v>401</v>
      </c>
      <c r="C1" s="113"/>
      <c r="D1" s="113"/>
      <c r="E1" s="126" t="str">
        <f>IF(B2&lt;&gt;B3, "A NEW VERSION OF THE WORKSHEET IS AVAILABLE", "")</f>
        <v/>
      </c>
      <c r="F1" s="126"/>
      <c r="G1" s="126"/>
      <c r="H1" s="126"/>
      <c r="I1" s="126"/>
      <c r="J1" s="126"/>
      <c r="K1" s="126"/>
    </row>
    <row r="2" spans="1:11" ht="15" customHeight="1" x14ac:dyDescent="0.2">
      <c r="A2" s="113" t="s">
        <v>402</v>
      </c>
      <c r="B2" s="47">
        <v>2.1</v>
      </c>
      <c r="C2" s="47"/>
      <c r="D2" s="47"/>
      <c r="E2" s="127" t="s">
        <v>403</v>
      </c>
      <c r="F2" s="127"/>
      <c r="G2" s="127"/>
      <c r="H2" s="127"/>
      <c r="I2" s="127"/>
      <c r="J2" s="127"/>
      <c r="K2" s="127"/>
    </row>
    <row r="3" spans="1:11" ht="15" customHeight="1" x14ac:dyDescent="0.2">
      <c r="A3" s="113" t="s">
        <v>404</v>
      </c>
      <c r="B3" s="47">
        <v>2.1</v>
      </c>
      <c r="C3" s="47"/>
      <c r="D3" s="47"/>
      <c r="E3" s="47"/>
      <c r="F3" s="47"/>
      <c r="G3" s="47"/>
      <c r="H3" s="47"/>
      <c r="I3" s="47"/>
      <c r="J3" s="47"/>
      <c r="K3" s="47"/>
    </row>
    <row r="4" spans="1:11" ht="15" customHeight="1" x14ac:dyDescent="0.2">
      <c r="A4" s="113"/>
      <c r="B4" s="47"/>
      <c r="C4" s="47"/>
      <c r="D4" s="47"/>
      <c r="E4" s="47"/>
      <c r="F4" s="47"/>
      <c r="G4" s="47"/>
      <c r="H4" s="47"/>
      <c r="I4" s="47"/>
      <c r="J4" s="47"/>
      <c r="K4" s="47"/>
    </row>
    <row r="5" spans="1:11" ht="15" customHeight="1" x14ac:dyDescent="0.2">
      <c r="A5" s="113" t="s">
        <v>405</v>
      </c>
      <c r="B5" s="47"/>
      <c r="C5" s="47"/>
      <c r="D5" s="47"/>
      <c r="E5" s="47"/>
      <c r="F5" s="47"/>
      <c r="G5" s="47"/>
      <c r="H5" s="47"/>
      <c r="I5" s="47"/>
      <c r="J5" s="47"/>
      <c r="K5" s="47"/>
    </row>
    <row r="6" spans="1:11" ht="15" customHeight="1" x14ac:dyDescent="0.2">
      <c r="A6" s="47" t="s">
        <v>406</v>
      </c>
      <c r="B6" s="47">
        <f>IF(B9&gt;0, B9/B8, 0)</f>
        <v>192.83140722561086</v>
      </c>
      <c r="C6" s="47"/>
      <c r="D6" s="47"/>
      <c r="E6" s="47"/>
      <c r="F6" s="47"/>
      <c r="G6" s="47"/>
      <c r="H6" s="47"/>
      <c r="I6" s="47"/>
      <c r="J6" s="47"/>
      <c r="K6" s="47"/>
    </row>
    <row r="7" spans="1:11" ht="15" customHeight="1" x14ac:dyDescent="0.2">
      <c r="A7" s="47" t="s">
        <v>407</v>
      </c>
      <c r="B7" s="47">
        <v>1</v>
      </c>
      <c r="C7" s="47"/>
      <c r="D7" s="47"/>
      <c r="E7" s="47"/>
      <c r="F7" s="47"/>
      <c r="G7" s="47"/>
      <c r="H7" s="47"/>
      <c r="I7" s="47"/>
      <c r="J7" s="47"/>
      <c r="K7" s="47"/>
    </row>
    <row r="8" spans="1:11" ht="15" customHeight="1" x14ac:dyDescent="0.2">
      <c r="A8" s="47" t="s">
        <v>408</v>
      </c>
      <c r="B8" s="47">
        <v>1385.35</v>
      </c>
      <c r="C8" s="47"/>
      <c r="D8" s="47"/>
      <c r="E8" s="47"/>
      <c r="F8" s="47"/>
      <c r="G8" s="47"/>
      <c r="H8" s="47"/>
      <c r="I8" s="47"/>
      <c r="J8" s="47"/>
      <c r="K8" s="47"/>
    </row>
    <row r="9" spans="1:11" ht="15" customHeight="1" x14ac:dyDescent="0.2">
      <c r="A9" s="47" t="s">
        <v>409</v>
      </c>
      <c r="B9" s="47">
        <v>267138.99</v>
      </c>
      <c r="C9" s="47"/>
      <c r="D9" s="47"/>
      <c r="E9" s="47"/>
      <c r="F9" s="47"/>
      <c r="G9" s="47"/>
      <c r="H9" s="47"/>
      <c r="I9" s="47"/>
      <c r="J9" s="47"/>
      <c r="K9" s="47"/>
    </row>
    <row r="10" spans="1:11" ht="15" customHeight="1" x14ac:dyDescent="0.2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</row>
    <row r="11" spans="1:11" ht="15" customHeight="1" x14ac:dyDescent="0.2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</row>
    <row r="12" spans="1:11" ht="15" customHeight="1" x14ac:dyDescent="0.2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</row>
    <row r="13" spans="1:11" ht="15" customHeight="1" x14ac:dyDescent="0.2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</row>
    <row r="14" spans="1:11" ht="15" customHeight="1" x14ac:dyDescent="0.2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</row>
    <row r="15" spans="1:11" ht="15" customHeight="1" x14ac:dyDescent="0.2">
      <c r="A15" s="113" t="s">
        <v>410</v>
      </c>
      <c r="B15" s="47"/>
      <c r="C15" s="47"/>
      <c r="D15" s="47"/>
      <c r="E15" s="47"/>
      <c r="F15" s="47"/>
      <c r="G15" s="47"/>
      <c r="H15" s="47"/>
      <c r="I15" s="47"/>
      <c r="J15" s="47"/>
      <c r="K15" s="47"/>
    </row>
    <row r="16" spans="1:11" ht="15" customHeight="1" x14ac:dyDescent="0.2">
      <c r="A16" s="114" t="s">
        <v>411</v>
      </c>
      <c r="B16" s="115">
        <v>43100</v>
      </c>
      <c r="C16" s="115">
        <v>43465</v>
      </c>
      <c r="D16" s="115">
        <v>43830</v>
      </c>
      <c r="E16" s="115">
        <v>44196</v>
      </c>
      <c r="F16" s="115">
        <v>44561</v>
      </c>
      <c r="G16" s="115">
        <v>44926</v>
      </c>
      <c r="H16" s="115">
        <v>45291</v>
      </c>
      <c r="I16" s="115">
        <v>45382</v>
      </c>
      <c r="J16" s="115">
        <v>45747</v>
      </c>
      <c r="K16" s="115">
        <v>46112</v>
      </c>
    </row>
    <row r="17" spans="1:11" ht="15" customHeight="1" x14ac:dyDescent="0.2">
      <c r="A17" s="47" t="s">
        <v>309</v>
      </c>
      <c r="B17" s="47">
        <v>10009.6</v>
      </c>
      <c r="C17" s="47">
        <v>11292.27</v>
      </c>
      <c r="D17" s="47">
        <v>12368.9</v>
      </c>
      <c r="E17" s="47">
        <v>13350.03</v>
      </c>
      <c r="F17" s="47">
        <v>14740.59</v>
      </c>
      <c r="G17" s="47">
        <v>16896.96</v>
      </c>
      <c r="H17" s="47">
        <v>19126.3</v>
      </c>
      <c r="I17" s="47">
        <v>24393.89</v>
      </c>
      <c r="J17" s="47">
        <v>20201.560000000001</v>
      </c>
      <c r="K17" s="47">
        <v>23154.6</v>
      </c>
    </row>
    <row r="18" spans="1:11" ht="15" customHeight="1" x14ac:dyDescent="0.2">
      <c r="A18" s="47" t="s">
        <v>310</v>
      </c>
      <c r="B18" s="47">
        <v>3696.99</v>
      </c>
      <c r="C18" s="47">
        <v>3829.22</v>
      </c>
      <c r="D18" s="47">
        <v>4520.91</v>
      </c>
      <c r="E18" s="47">
        <v>4901.74</v>
      </c>
      <c r="F18" s="47">
        <v>5301.26</v>
      </c>
      <c r="G18" s="47">
        <v>6660.42</v>
      </c>
      <c r="H18" s="47">
        <v>8472.7199999999993</v>
      </c>
      <c r="I18" s="47">
        <v>9201.11</v>
      </c>
      <c r="J18" s="47">
        <v>7646.63</v>
      </c>
      <c r="K18" s="47">
        <v>9113.9599999999991</v>
      </c>
    </row>
    <row r="19" spans="1:11" ht="15" customHeight="1" x14ac:dyDescent="0.2">
      <c r="A19" s="47" t="s">
        <v>311</v>
      </c>
      <c r="B19" s="47">
        <v>79.56</v>
      </c>
      <c r="C19" s="47">
        <v>6.01</v>
      </c>
      <c r="D19" s="47">
        <v>144.19</v>
      </c>
      <c r="E19" s="47">
        <v>69.33</v>
      </c>
      <c r="F19" s="47">
        <v>67.59</v>
      </c>
      <c r="G19" s="47">
        <v>250.27</v>
      </c>
      <c r="H19" s="47">
        <v>40.01</v>
      </c>
      <c r="I19" s="47">
        <v>45.68</v>
      </c>
      <c r="J19" s="47">
        <v>139.66</v>
      </c>
      <c r="K19" s="47">
        <v>168.23</v>
      </c>
    </row>
    <row r="20" spans="1:11" ht="15" customHeight="1" x14ac:dyDescent="0.2">
      <c r="A20" s="47" t="s">
        <v>312</v>
      </c>
      <c r="B20" s="47">
        <v>288.44</v>
      </c>
      <c r="C20" s="47">
        <v>344.18</v>
      </c>
      <c r="D20" s="47">
        <v>340.53</v>
      </c>
      <c r="E20" s="47">
        <v>313.68</v>
      </c>
      <c r="F20" s="47">
        <v>408.06</v>
      </c>
      <c r="G20" s="47">
        <v>572.61</v>
      </c>
      <c r="H20" s="47"/>
      <c r="I20" s="47">
        <v>674.83</v>
      </c>
      <c r="J20" s="47">
        <v>541.41999999999996</v>
      </c>
      <c r="K20" s="47">
        <v>587.21</v>
      </c>
    </row>
    <row r="21" spans="1:11" ht="15.75" customHeight="1" x14ac:dyDescent="0.2">
      <c r="A21" s="47" t="s">
        <v>313</v>
      </c>
      <c r="B21" s="47">
        <v>897.84</v>
      </c>
      <c r="C21" s="47">
        <v>949.86</v>
      </c>
      <c r="D21" s="47">
        <v>1028.55</v>
      </c>
      <c r="E21" s="47">
        <v>1040.3599999999999</v>
      </c>
      <c r="F21" s="47">
        <v>1349.48</v>
      </c>
      <c r="G21" s="47">
        <v>1603.48</v>
      </c>
      <c r="H21" s="47"/>
      <c r="I21" s="47">
        <v>1935.4</v>
      </c>
      <c r="J21" s="47">
        <v>1582.45</v>
      </c>
      <c r="K21" s="47">
        <v>1816.29</v>
      </c>
    </row>
    <row r="22" spans="1:11" ht="15.75" customHeight="1" x14ac:dyDescent="0.2">
      <c r="A22" s="47" t="s">
        <v>59</v>
      </c>
      <c r="B22" s="47">
        <v>1017.45</v>
      </c>
      <c r="C22" s="47">
        <v>1124.1500000000001</v>
      </c>
      <c r="D22" s="47">
        <v>1258.17</v>
      </c>
      <c r="E22" s="47">
        <v>1500.95</v>
      </c>
      <c r="F22" s="47">
        <v>1529.94</v>
      </c>
      <c r="G22" s="47">
        <v>1635.46</v>
      </c>
      <c r="H22" s="47">
        <v>1849.18</v>
      </c>
      <c r="I22" s="47">
        <v>2336.06</v>
      </c>
      <c r="J22" s="47">
        <v>2062.02</v>
      </c>
      <c r="K22" s="47">
        <v>2278.41</v>
      </c>
    </row>
    <row r="23" spans="1:11" ht="15.75" customHeight="1" x14ac:dyDescent="0.2">
      <c r="A23" s="47" t="s">
        <v>314</v>
      </c>
      <c r="B23" s="47">
        <v>1823.98</v>
      </c>
      <c r="C23" s="47">
        <v>2145.8200000000002</v>
      </c>
      <c r="D23" s="47">
        <v>2226.13</v>
      </c>
      <c r="E23" s="47">
        <v>2246.9</v>
      </c>
      <c r="F23" s="47">
        <v>2902.12</v>
      </c>
      <c r="G23" s="47">
        <v>3192.15</v>
      </c>
      <c r="H23" s="47"/>
      <c r="I23" s="47">
        <v>4837.58</v>
      </c>
      <c r="J23" s="47">
        <v>4126.54</v>
      </c>
      <c r="K23" s="47">
        <v>4780.8999999999996</v>
      </c>
    </row>
    <row r="24" spans="1:11" ht="15.75" customHeight="1" x14ac:dyDescent="0.2">
      <c r="A24" s="47" t="s">
        <v>315</v>
      </c>
      <c r="B24" s="47">
        <v>267.93</v>
      </c>
      <c r="C24" s="47">
        <v>287.39999999999998</v>
      </c>
      <c r="D24" s="47">
        <v>212.92</v>
      </c>
      <c r="E24" s="47">
        <v>214.23</v>
      </c>
      <c r="F24" s="47">
        <v>-245.08</v>
      </c>
      <c r="G24" s="47">
        <v>-223.18</v>
      </c>
      <c r="H24" s="47">
        <v>4373.42</v>
      </c>
      <c r="I24" s="47">
        <v>-388.53</v>
      </c>
      <c r="J24" s="47">
        <v>-389.17</v>
      </c>
      <c r="K24" s="47">
        <v>-560.9</v>
      </c>
    </row>
    <row r="25" spans="1:11" ht="15.75" customHeight="1" x14ac:dyDescent="0.2">
      <c r="A25" s="47" t="s">
        <v>107</v>
      </c>
      <c r="B25" s="47">
        <v>176.92</v>
      </c>
      <c r="C25" s="47">
        <v>258.92</v>
      </c>
      <c r="D25" s="47">
        <v>246.88</v>
      </c>
      <c r="E25" s="47">
        <v>145.85</v>
      </c>
      <c r="F25" s="47">
        <v>-112.38</v>
      </c>
      <c r="G25" s="47">
        <v>107.26</v>
      </c>
      <c r="H25" s="47">
        <v>115.5</v>
      </c>
      <c r="I25" s="47">
        <v>158.99</v>
      </c>
      <c r="J25" s="47">
        <v>352.06</v>
      </c>
      <c r="K25" s="47">
        <v>160.22999999999999</v>
      </c>
    </row>
    <row r="26" spans="1:11" ht="15.75" customHeight="1" x14ac:dyDescent="0.2">
      <c r="A26" s="47" t="s">
        <v>108</v>
      </c>
      <c r="B26" s="47">
        <v>342.25</v>
      </c>
      <c r="C26" s="47">
        <v>335.67</v>
      </c>
      <c r="D26" s="47">
        <v>370.15</v>
      </c>
      <c r="E26" s="47">
        <v>370.38</v>
      </c>
      <c r="F26" s="47">
        <v>391.02</v>
      </c>
      <c r="G26" s="47">
        <v>403.01</v>
      </c>
      <c r="H26" s="47">
        <v>428.91</v>
      </c>
      <c r="I26" s="47">
        <v>567.75</v>
      </c>
      <c r="J26" s="47">
        <v>539.91999999999996</v>
      </c>
      <c r="K26" s="47">
        <v>699.23</v>
      </c>
    </row>
    <row r="27" spans="1:11" ht="15.75" customHeight="1" x14ac:dyDescent="0.2">
      <c r="A27" s="47" t="s">
        <v>110</v>
      </c>
      <c r="B27" s="47">
        <v>91.9</v>
      </c>
      <c r="C27" s="47">
        <v>111.95</v>
      </c>
      <c r="D27" s="47">
        <v>129.12</v>
      </c>
      <c r="E27" s="47">
        <v>164.18</v>
      </c>
      <c r="F27" s="47">
        <v>201.68</v>
      </c>
      <c r="G27" s="47">
        <v>154.57</v>
      </c>
      <c r="H27" s="47">
        <v>119.29</v>
      </c>
      <c r="I27" s="47">
        <v>145.49</v>
      </c>
      <c r="J27" s="47">
        <v>136</v>
      </c>
      <c r="K27" s="47">
        <v>158.31</v>
      </c>
    </row>
    <row r="28" spans="1:11" ht="15.75" customHeight="1" x14ac:dyDescent="0.2">
      <c r="A28" s="47" t="s">
        <v>316</v>
      </c>
      <c r="B28" s="47">
        <v>1839.3</v>
      </c>
      <c r="C28" s="47">
        <v>2428.9499999999998</v>
      </c>
      <c r="D28" s="47">
        <v>2673.49</v>
      </c>
      <c r="E28" s="47">
        <v>2812.79</v>
      </c>
      <c r="F28" s="47">
        <v>2857.32</v>
      </c>
      <c r="G28" s="47">
        <v>3255.97</v>
      </c>
      <c r="H28" s="47">
        <v>4038.29</v>
      </c>
      <c r="I28" s="47">
        <v>5288.87</v>
      </c>
      <c r="J28" s="47">
        <v>4447.47</v>
      </c>
      <c r="K28" s="47">
        <v>4609.6499999999996</v>
      </c>
    </row>
    <row r="29" spans="1:11" ht="15.75" customHeight="1" x14ac:dyDescent="0.2">
      <c r="A29" s="47" t="s">
        <v>112</v>
      </c>
      <c r="B29" s="47">
        <v>614.11</v>
      </c>
      <c r="C29" s="47">
        <v>822.02</v>
      </c>
      <c r="D29" s="47">
        <v>705.05</v>
      </c>
      <c r="E29" s="47">
        <v>730.36</v>
      </c>
      <c r="F29" s="47">
        <v>738.91</v>
      </c>
      <c r="G29" s="47">
        <v>865.45</v>
      </c>
      <c r="H29" s="47">
        <v>1039.6199999999999</v>
      </c>
      <c r="I29" s="47">
        <v>1356.03</v>
      </c>
      <c r="J29" s="47">
        <v>1132.97</v>
      </c>
      <c r="K29" s="47">
        <v>1065.05</v>
      </c>
    </row>
    <row r="30" spans="1:11" ht="15.75" customHeight="1" x14ac:dyDescent="0.2">
      <c r="A30" s="47" t="s">
        <v>317</v>
      </c>
      <c r="B30" s="47">
        <v>1225.19</v>
      </c>
      <c r="C30" s="47">
        <v>1606.93</v>
      </c>
      <c r="D30" s="47">
        <v>1968.44</v>
      </c>
      <c r="E30" s="47">
        <v>2082.4299999999998</v>
      </c>
      <c r="F30" s="47">
        <v>2118.41</v>
      </c>
      <c r="G30" s="47">
        <v>2390.52</v>
      </c>
      <c r="H30" s="47">
        <v>2998.67</v>
      </c>
      <c r="I30" s="47">
        <v>3932.84</v>
      </c>
      <c r="J30" s="47">
        <v>3314.5</v>
      </c>
      <c r="K30" s="47">
        <v>3544.6</v>
      </c>
    </row>
    <row r="31" spans="1:11" ht="15.75" customHeight="1" x14ac:dyDescent="0.2">
      <c r="A31" s="47" t="s">
        <v>318</v>
      </c>
      <c r="B31" s="47">
        <v>829.21</v>
      </c>
      <c r="C31" s="47">
        <v>1108.83</v>
      </c>
      <c r="D31" s="47">
        <v>3297.56</v>
      </c>
      <c r="E31" s="47">
        <v>1928.4</v>
      </c>
      <c r="F31" s="47">
        <v>1928.4</v>
      </c>
      <c r="G31" s="47">
        <v>2121.2399999999998</v>
      </c>
      <c r="H31" s="47">
        <v>1677.71</v>
      </c>
      <c r="I31" s="47">
        <v>3104.72</v>
      </c>
      <c r="J31" s="47">
        <v>2603.34</v>
      </c>
      <c r="K31" s="47">
        <v>2313.96</v>
      </c>
    </row>
    <row r="32" spans="1:11" ht="15.75" customHeight="1" x14ac:dyDescent="0.2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</row>
    <row r="33" spans="1:11" ht="15.75" customHeight="1" x14ac:dyDescent="0.2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</row>
    <row r="34" spans="1:11" ht="15.75" customHeight="1" x14ac:dyDescent="0.2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</row>
    <row r="35" spans="1:11" ht="15.75" customHeight="1" x14ac:dyDescent="0.2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</row>
    <row r="36" spans="1:11" ht="15.75" customHeight="1" x14ac:dyDescent="0.2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</row>
    <row r="37" spans="1:11" ht="15.75" customHeight="1" x14ac:dyDescent="0.2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</row>
    <row r="38" spans="1:11" ht="15.75" customHeight="1" x14ac:dyDescent="0.2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</row>
    <row r="39" spans="1:11" ht="15.75" customHeight="1" x14ac:dyDescent="0.2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</row>
    <row r="40" spans="1:11" ht="15.75" customHeight="1" x14ac:dyDescent="0.2">
      <c r="A40" s="113" t="s">
        <v>412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</row>
    <row r="41" spans="1:11" ht="15.75" customHeight="1" x14ac:dyDescent="0.2">
      <c r="A41" s="114" t="s">
        <v>411</v>
      </c>
      <c r="B41" s="115">
        <v>45382</v>
      </c>
      <c r="C41" s="115">
        <v>45473</v>
      </c>
      <c r="D41" s="115">
        <v>45565</v>
      </c>
      <c r="E41" s="115">
        <v>45657</v>
      </c>
      <c r="F41" s="115">
        <v>45747</v>
      </c>
      <c r="G41" s="115">
        <v>45838</v>
      </c>
      <c r="H41" s="115">
        <v>45930</v>
      </c>
      <c r="I41" s="115">
        <v>46022</v>
      </c>
      <c r="J41" s="115">
        <v>46112</v>
      </c>
      <c r="K41" s="115">
        <v>46203</v>
      </c>
    </row>
    <row r="42" spans="1:11" ht="15.75" customHeight="1" x14ac:dyDescent="0.2">
      <c r="A42" s="47" t="s">
        <v>309</v>
      </c>
      <c r="B42" s="47">
        <v>5267.59</v>
      </c>
      <c r="C42" s="47">
        <v>4813.95</v>
      </c>
      <c r="D42" s="47">
        <v>5104</v>
      </c>
      <c r="E42" s="47">
        <v>4779.7299999999996</v>
      </c>
      <c r="F42" s="47">
        <v>5503.88</v>
      </c>
      <c r="G42" s="47">
        <v>5096.16</v>
      </c>
      <c r="H42" s="47">
        <v>5643.61</v>
      </c>
      <c r="I42" s="47">
        <v>5667.04</v>
      </c>
      <c r="J42" s="47">
        <v>6747.79</v>
      </c>
      <c r="K42" s="47">
        <v>6378.18</v>
      </c>
    </row>
    <row r="43" spans="1:11" ht="15.75" customHeight="1" x14ac:dyDescent="0.2">
      <c r="A43" s="47" t="s">
        <v>413</v>
      </c>
      <c r="B43" s="47">
        <v>3917.54</v>
      </c>
      <c r="C43" s="47">
        <v>3699.62</v>
      </c>
      <c r="D43" s="47">
        <v>3936.27</v>
      </c>
      <c r="E43" s="47">
        <v>3677.04</v>
      </c>
      <c r="F43" s="47">
        <v>4115.58</v>
      </c>
      <c r="G43" s="47">
        <v>3996.03</v>
      </c>
      <c r="H43" s="47">
        <v>4406.97</v>
      </c>
      <c r="I43" s="47">
        <v>4466.09</v>
      </c>
      <c r="J43" s="47">
        <v>4976.1899999999996</v>
      </c>
      <c r="K43" s="47">
        <v>4840.05</v>
      </c>
    </row>
    <row r="44" spans="1:11" ht="15.75" customHeight="1" x14ac:dyDescent="0.2">
      <c r="A44" s="47" t="s">
        <v>107</v>
      </c>
      <c r="B44" s="47">
        <v>36.83</v>
      </c>
      <c r="C44" s="47">
        <v>39.119999999999997</v>
      </c>
      <c r="D44" s="47">
        <v>297.68</v>
      </c>
      <c r="E44" s="47">
        <v>4.4400000000000004</v>
      </c>
      <c r="F44" s="47">
        <v>9.1</v>
      </c>
      <c r="G44" s="47">
        <v>4.17</v>
      </c>
      <c r="H44" s="47">
        <v>1.64</v>
      </c>
      <c r="I44" s="47">
        <v>169.78</v>
      </c>
      <c r="J44" s="47">
        <v>-17.72</v>
      </c>
      <c r="K44" s="47">
        <v>16.239999999999998</v>
      </c>
    </row>
    <row r="45" spans="1:11" ht="15.75" customHeight="1" x14ac:dyDescent="0.2">
      <c r="A45" s="47" t="s">
        <v>108</v>
      </c>
      <c r="B45" s="47">
        <v>110.1</v>
      </c>
      <c r="C45" s="47">
        <v>112.71</v>
      </c>
      <c r="D45" s="47">
        <v>121.6</v>
      </c>
      <c r="E45" s="47">
        <v>150.27000000000001</v>
      </c>
      <c r="F45" s="47">
        <v>155.34</v>
      </c>
      <c r="G45" s="47">
        <v>156.94</v>
      </c>
      <c r="H45" s="47">
        <v>163.35</v>
      </c>
      <c r="I45" s="47">
        <v>174.41</v>
      </c>
      <c r="J45" s="47">
        <v>204.53</v>
      </c>
      <c r="K45" s="47">
        <v>187.8</v>
      </c>
    </row>
    <row r="46" spans="1:11" ht="15.75" customHeight="1" x14ac:dyDescent="0.2">
      <c r="A46" s="47" t="s">
        <v>110</v>
      </c>
      <c r="B46" s="47">
        <v>26.2</v>
      </c>
      <c r="C46" s="47">
        <v>31.68</v>
      </c>
      <c r="D46" s="47">
        <v>32.22</v>
      </c>
      <c r="E46" s="47">
        <v>34.6</v>
      </c>
      <c r="F46" s="47">
        <v>37.5</v>
      </c>
      <c r="G46" s="47">
        <v>46.89</v>
      </c>
      <c r="H46" s="47">
        <v>46.41</v>
      </c>
      <c r="I46" s="47">
        <v>28.25</v>
      </c>
      <c r="J46" s="47">
        <v>36.76</v>
      </c>
      <c r="K46" s="47">
        <v>42.18</v>
      </c>
    </row>
    <row r="47" spans="1:11" ht="15.75" customHeight="1" x14ac:dyDescent="0.2">
      <c r="A47" s="47" t="s">
        <v>316</v>
      </c>
      <c r="B47" s="47">
        <v>1250.58</v>
      </c>
      <c r="C47" s="47">
        <v>1009.06</v>
      </c>
      <c r="D47" s="47">
        <v>1311.59</v>
      </c>
      <c r="E47" s="47">
        <v>922.26</v>
      </c>
      <c r="F47" s="47">
        <v>1204.56</v>
      </c>
      <c r="G47" s="47">
        <v>900.47</v>
      </c>
      <c r="H47" s="47">
        <v>1028.52</v>
      </c>
      <c r="I47" s="47">
        <v>1168.07</v>
      </c>
      <c r="J47" s="47">
        <v>1512.59</v>
      </c>
      <c r="K47" s="47">
        <v>1324.39</v>
      </c>
    </row>
    <row r="48" spans="1:11" ht="15.75" customHeight="1" x14ac:dyDescent="0.2">
      <c r="A48" s="47" t="s">
        <v>112</v>
      </c>
      <c r="B48" s="47">
        <v>316.41000000000003</v>
      </c>
      <c r="C48" s="47">
        <v>262.45999999999998</v>
      </c>
      <c r="D48" s="47">
        <v>325.23</v>
      </c>
      <c r="E48" s="47">
        <v>226.13</v>
      </c>
      <c r="F48" s="47">
        <v>319.14999999999998</v>
      </c>
      <c r="G48" s="47">
        <v>241.24</v>
      </c>
      <c r="H48" s="47">
        <v>275.32</v>
      </c>
      <c r="I48" s="47">
        <v>150.01</v>
      </c>
      <c r="J48" s="47">
        <v>398.48</v>
      </c>
      <c r="K48" s="47">
        <v>349.27</v>
      </c>
    </row>
    <row r="49" spans="1:11" ht="15.75" customHeight="1" x14ac:dyDescent="0.2">
      <c r="A49" s="47" t="s">
        <v>317</v>
      </c>
      <c r="B49" s="47">
        <v>934.17</v>
      </c>
      <c r="C49" s="47">
        <v>746.6</v>
      </c>
      <c r="D49" s="47">
        <v>986.36</v>
      </c>
      <c r="E49" s="47">
        <v>696.13</v>
      </c>
      <c r="F49" s="47">
        <v>885.41</v>
      </c>
      <c r="G49" s="47">
        <v>659.23</v>
      </c>
      <c r="H49" s="47">
        <v>753.2</v>
      </c>
      <c r="I49" s="47">
        <v>1018.06</v>
      </c>
      <c r="J49" s="47">
        <v>1114.1099999999999</v>
      </c>
      <c r="K49" s="47">
        <v>975.12</v>
      </c>
    </row>
    <row r="50" spans="1:11" ht="15.75" customHeight="1" x14ac:dyDescent="0.2">
      <c r="A50" s="47" t="s">
        <v>414</v>
      </c>
      <c r="B50" s="47">
        <v>1350.05</v>
      </c>
      <c r="C50" s="47">
        <v>1114.33</v>
      </c>
      <c r="D50" s="47">
        <v>1167.73</v>
      </c>
      <c r="E50" s="47">
        <v>1102.69</v>
      </c>
      <c r="F50" s="47">
        <v>1388.3</v>
      </c>
      <c r="G50" s="47">
        <v>1100.1300000000001</v>
      </c>
      <c r="H50" s="47">
        <v>1236.6400000000001</v>
      </c>
      <c r="I50" s="47">
        <v>1200.95</v>
      </c>
      <c r="J50" s="47">
        <v>1771.6</v>
      </c>
      <c r="K50" s="47">
        <v>1538.13</v>
      </c>
    </row>
    <row r="51" spans="1:11" ht="15.75" customHeight="1" x14ac:dyDescent="0.2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</row>
    <row r="52" spans="1:11" ht="15.75" customHeight="1" x14ac:dyDescent="0.2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</row>
    <row r="53" spans="1:11" ht="15.75" customHeight="1" x14ac:dyDescent="0.2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</row>
    <row r="54" spans="1:11" ht="15.75" customHeight="1" x14ac:dyDescent="0.2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</row>
    <row r="55" spans="1:11" ht="15.75" customHeight="1" x14ac:dyDescent="0.2">
      <c r="A55" s="113" t="s">
        <v>415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</row>
    <row r="56" spans="1:11" ht="15.75" customHeight="1" x14ac:dyDescent="0.2">
      <c r="A56" s="114" t="s">
        <v>411</v>
      </c>
      <c r="B56" s="115">
        <v>43100</v>
      </c>
      <c r="C56" s="115">
        <v>43465</v>
      </c>
      <c r="D56" s="115">
        <v>43830</v>
      </c>
      <c r="E56" s="115">
        <v>44196</v>
      </c>
      <c r="F56" s="115">
        <v>44561</v>
      </c>
      <c r="G56" s="115">
        <v>44926</v>
      </c>
      <c r="H56" s="115">
        <v>45291</v>
      </c>
      <c r="I56" s="115">
        <v>45382</v>
      </c>
      <c r="J56" s="115">
        <v>45747</v>
      </c>
      <c r="K56" s="115">
        <v>46112</v>
      </c>
    </row>
    <row r="57" spans="1:11" ht="15.75" customHeight="1" x14ac:dyDescent="0.2">
      <c r="A57" s="47" t="s">
        <v>319</v>
      </c>
      <c r="B57" s="47">
        <v>96.42</v>
      </c>
      <c r="C57" s="47">
        <v>96.42</v>
      </c>
      <c r="D57" s="47">
        <v>96.42</v>
      </c>
      <c r="E57" s="47">
        <v>96.42</v>
      </c>
      <c r="F57" s="47">
        <v>96.42</v>
      </c>
      <c r="G57" s="47">
        <v>96.42</v>
      </c>
      <c r="H57" s="47">
        <v>96.42</v>
      </c>
      <c r="I57" s="47">
        <v>96.42</v>
      </c>
      <c r="J57" s="47">
        <v>96.42</v>
      </c>
      <c r="K57" s="47">
        <v>192.83</v>
      </c>
    </row>
    <row r="58" spans="1:11" ht="15.75" customHeight="1" x14ac:dyDescent="0.2">
      <c r="A58" s="47" t="s">
        <v>320</v>
      </c>
      <c r="B58" s="47">
        <v>3324.17</v>
      </c>
      <c r="C58" s="47">
        <v>3577.32</v>
      </c>
      <c r="D58" s="47">
        <v>1822.45</v>
      </c>
      <c r="E58" s="47">
        <v>1922.92</v>
      </c>
      <c r="F58" s="47">
        <v>1849.96</v>
      </c>
      <c r="G58" s="47">
        <v>2362.75</v>
      </c>
      <c r="H58" s="47">
        <v>2362.75</v>
      </c>
      <c r="I58" s="47">
        <v>3244.47</v>
      </c>
      <c r="J58" s="47">
        <v>4020.73</v>
      </c>
      <c r="K58" s="47">
        <v>5116.41</v>
      </c>
    </row>
    <row r="59" spans="1:11" ht="15.75" customHeight="1" x14ac:dyDescent="0.2">
      <c r="A59" s="47" t="s">
        <v>321</v>
      </c>
      <c r="B59" s="47">
        <v>35.14</v>
      </c>
      <c r="C59" s="47">
        <v>35.14</v>
      </c>
      <c r="D59" s="47">
        <v>188.94</v>
      </c>
      <c r="E59" s="47">
        <v>147.49</v>
      </c>
      <c r="F59" s="47">
        <v>266.45999999999998</v>
      </c>
      <c r="G59" s="47">
        <v>270.52</v>
      </c>
      <c r="H59" s="47">
        <v>270.52</v>
      </c>
      <c r="I59" s="47">
        <v>344.53</v>
      </c>
      <c r="J59" s="47">
        <v>1166.8499999999999</v>
      </c>
      <c r="K59" s="47">
        <v>444.16</v>
      </c>
    </row>
    <row r="60" spans="1:11" ht="15.75" customHeight="1" x14ac:dyDescent="0.2">
      <c r="A60" s="47" t="s">
        <v>322</v>
      </c>
      <c r="B60" s="47">
        <v>3906.86</v>
      </c>
      <c r="C60" s="47">
        <v>4379.2</v>
      </c>
      <c r="D60" s="47">
        <v>5065.13</v>
      </c>
      <c r="E60" s="47">
        <v>5732.9</v>
      </c>
      <c r="F60" s="47">
        <v>6021.29</v>
      </c>
      <c r="G60" s="47">
        <v>6249.05</v>
      </c>
      <c r="H60" s="47">
        <v>6249.05</v>
      </c>
      <c r="I60" s="47">
        <v>6837.64</v>
      </c>
      <c r="J60" s="47">
        <v>7039.89</v>
      </c>
      <c r="K60" s="47">
        <v>7603.77</v>
      </c>
    </row>
    <row r="61" spans="1:11" ht="15.75" customHeight="1" x14ac:dyDescent="0.2">
      <c r="A61" s="113" t="s">
        <v>68</v>
      </c>
      <c r="B61" s="113">
        <v>7362.59</v>
      </c>
      <c r="C61" s="113">
        <v>8088.08</v>
      </c>
      <c r="D61" s="113">
        <v>7172.94</v>
      </c>
      <c r="E61" s="113">
        <v>7899.73</v>
      </c>
      <c r="F61" s="113">
        <v>8234.1299999999992</v>
      </c>
      <c r="G61" s="113">
        <v>8978.74</v>
      </c>
      <c r="H61" s="113">
        <v>8978.74</v>
      </c>
      <c r="I61" s="113">
        <v>10523.06</v>
      </c>
      <c r="J61" s="113">
        <v>12323.89</v>
      </c>
      <c r="K61" s="113">
        <v>13357.17</v>
      </c>
    </row>
    <row r="62" spans="1:11" ht="15.75" customHeight="1" x14ac:dyDescent="0.2">
      <c r="A62" s="47" t="s">
        <v>416</v>
      </c>
      <c r="B62" s="47">
        <v>2616.1799999999998</v>
      </c>
      <c r="C62" s="47">
        <v>2400.62</v>
      </c>
      <c r="D62" s="47">
        <v>2341.4499999999998</v>
      </c>
      <c r="E62" s="47">
        <v>2179.41</v>
      </c>
      <c r="F62" s="47">
        <v>2994.67</v>
      </c>
      <c r="G62" s="47">
        <v>3043.7</v>
      </c>
      <c r="H62" s="47">
        <v>3043.7</v>
      </c>
      <c r="I62" s="47">
        <v>3460.25</v>
      </c>
      <c r="J62" s="47">
        <v>5473.61</v>
      </c>
      <c r="K62" s="47">
        <v>6290.42</v>
      </c>
    </row>
    <row r="63" spans="1:11" ht="15.75" customHeight="1" x14ac:dyDescent="0.2">
      <c r="A63" s="47" t="s">
        <v>325</v>
      </c>
      <c r="B63" s="47">
        <v>94.16</v>
      </c>
      <c r="C63" s="47">
        <v>105.2</v>
      </c>
      <c r="D63" s="47">
        <v>143.30000000000001</v>
      </c>
      <c r="E63" s="47">
        <v>638.58000000000004</v>
      </c>
      <c r="F63" s="47">
        <v>246.23</v>
      </c>
      <c r="G63" s="47">
        <v>358.36</v>
      </c>
      <c r="H63" s="47">
        <v>358.36</v>
      </c>
      <c r="I63" s="47">
        <v>1741.71</v>
      </c>
      <c r="J63" s="47">
        <v>1172.56</v>
      </c>
      <c r="K63" s="47">
        <v>506.98</v>
      </c>
    </row>
    <row r="64" spans="1:11" ht="15.75" customHeight="1" x14ac:dyDescent="0.2">
      <c r="A64" s="47" t="s">
        <v>326</v>
      </c>
      <c r="B64" s="47">
        <v>1978.87</v>
      </c>
      <c r="C64" s="47">
        <v>2658.49</v>
      </c>
      <c r="D64" s="47">
        <v>1751.05</v>
      </c>
      <c r="E64" s="47">
        <v>1463.77</v>
      </c>
      <c r="F64" s="47">
        <v>773.98</v>
      </c>
      <c r="G64" s="47">
        <v>777.54</v>
      </c>
      <c r="H64" s="47">
        <v>777.54</v>
      </c>
      <c r="I64" s="47">
        <v>463.87</v>
      </c>
      <c r="J64" s="47">
        <v>705.6</v>
      </c>
      <c r="K64" s="47">
        <v>705.6</v>
      </c>
    </row>
    <row r="65" spans="1:11" ht="15.75" customHeight="1" x14ac:dyDescent="0.2">
      <c r="A65" s="47" t="s">
        <v>327</v>
      </c>
      <c r="B65" s="47">
        <v>2673.38</v>
      </c>
      <c r="C65" s="47">
        <v>2923.77</v>
      </c>
      <c r="D65" s="47">
        <v>2937.14</v>
      </c>
      <c r="E65" s="47">
        <v>3617.97</v>
      </c>
      <c r="F65" s="47">
        <v>4219.25</v>
      </c>
      <c r="G65" s="47">
        <v>4799.1400000000003</v>
      </c>
      <c r="H65" s="47">
        <v>4799.1400000000003</v>
      </c>
      <c r="I65" s="47">
        <v>4857.2299999999996</v>
      </c>
      <c r="J65" s="47">
        <v>4972.12</v>
      </c>
      <c r="K65" s="47">
        <v>5854.17</v>
      </c>
    </row>
    <row r="66" spans="1:11" ht="15.75" customHeight="1" x14ac:dyDescent="0.2">
      <c r="A66" s="113" t="s">
        <v>68</v>
      </c>
      <c r="B66" s="113">
        <v>7362.59</v>
      </c>
      <c r="C66" s="113">
        <v>8088.08</v>
      </c>
      <c r="D66" s="113">
        <v>7172.94</v>
      </c>
      <c r="E66" s="113">
        <v>7899.73</v>
      </c>
      <c r="F66" s="113">
        <v>8234.1299999999992</v>
      </c>
      <c r="G66" s="113">
        <v>8978.74</v>
      </c>
      <c r="H66" s="113">
        <v>8978.74</v>
      </c>
      <c r="I66" s="113">
        <v>10523.06</v>
      </c>
      <c r="J66" s="113">
        <v>12323.89</v>
      </c>
      <c r="K66" s="113">
        <v>13357.17</v>
      </c>
    </row>
    <row r="67" spans="1:11" ht="15.75" customHeight="1" x14ac:dyDescent="0.2">
      <c r="A67" s="47" t="s">
        <v>329</v>
      </c>
      <c r="B67" s="47">
        <v>88.97</v>
      </c>
      <c r="C67" s="47">
        <v>124.59</v>
      </c>
      <c r="D67" s="47">
        <v>124.33</v>
      </c>
      <c r="E67" s="47">
        <v>164.93</v>
      </c>
      <c r="F67" s="47">
        <v>165.97</v>
      </c>
      <c r="G67" s="47">
        <v>191.89</v>
      </c>
      <c r="H67" s="47">
        <v>191.89</v>
      </c>
      <c r="I67" s="47">
        <v>300.45999999999998</v>
      </c>
      <c r="J67" s="47">
        <v>363.15</v>
      </c>
      <c r="K67" s="47">
        <v>329.47</v>
      </c>
    </row>
    <row r="68" spans="1:11" ht="15.75" customHeight="1" x14ac:dyDescent="0.2">
      <c r="A68" s="47" t="s">
        <v>330</v>
      </c>
      <c r="B68" s="47">
        <v>902.47</v>
      </c>
      <c r="C68" s="47">
        <v>965.55</v>
      </c>
      <c r="D68" s="47">
        <v>1283.07</v>
      </c>
      <c r="E68" s="47">
        <v>1416.48</v>
      </c>
      <c r="F68" s="47">
        <v>1592.65</v>
      </c>
      <c r="G68" s="47">
        <v>1928.77</v>
      </c>
      <c r="H68" s="47">
        <v>1928.77</v>
      </c>
      <c r="I68" s="47">
        <v>2089.36</v>
      </c>
      <c r="J68" s="47">
        <v>2850.14</v>
      </c>
      <c r="K68" s="47">
        <v>2569.2199999999998</v>
      </c>
    </row>
    <row r="69" spans="1:11" ht="15.75" customHeight="1" x14ac:dyDescent="0.2">
      <c r="A69" s="47" t="s">
        <v>331</v>
      </c>
      <c r="B69" s="47">
        <v>1457.42</v>
      </c>
      <c r="C69" s="47">
        <v>1610.06</v>
      </c>
      <c r="D69" s="47">
        <v>1308.05</v>
      </c>
      <c r="E69" s="47">
        <v>1769.87</v>
      </c>
      <c r="F69" s="47">
        <v>735.41</v>
      </c>
      <c r="G69" s="47">
        <v>945.55</v>
      </c>
      <c r="H69" s="47">
        <v>945.55</v>
      </c>
      <c r="I69" s="47">
        <v>778.85</v>
      </c>
      <c r="J69" s="47">
        <v>95.65</v>
      </c>
      <c r="K69" s="47">
        <v>1340.87</v>
      </c>
    </row>
    <row r="70" spans="1:11" ht="15.75" customHeight="1" x14ac:dyDescent="0.2">
      <c r="A70" s="47" t="s">
        <v>386</v>
      </c>
      <c r="B70" s="47">
        <v>96415716</v>
      </c>
      <c r="C70" s="47">
        <v>96415716</v>
      </c>
      <c r="D70" s="47">
        <v>96415716</v>
      </c>
      <c r="E70" s="47">
        <v>96415716</v>
      </c>
      <c r="F70" s="47">
        <v>96415716</v>
      </c>
      <c r="G70" s="47">
        <v>96415716</v>
      </c>
      <c r="H70" s="47"/>
      <c r="I70" s="47">
        <v>964157160</v>
      </c>
      <c r="J70" s="47">
        <v>964157160</v>
      </c>
      <c r="K70" s="47">
        <v>1928314320</v>
      </c>
    </row>
    <row r="71" spans="1:11" ht="15.75" customHeight="1" x14ac:dyDescent="0.2">
      <c r="A71" s="47" t="s">
        <v>417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</row>
    <row r="72" spans="1:11" ht="15.75" customHeight="1" x14ac:dyDescent="0.2">
      <c r="A72" s="47" t="s">
        <v>418</v>
      </c>
      <c r="B72" s="47">
        <v>10</v>
      </c>
      <c r="C72" s="47">
        <v>10</v>
      </c>
      <c r="D72" s="47">
        <v>10</v>
      </c>
      <c r="E72" s="47">
        <v>10</v>
      </c>
      <c r="F72" s="47">
        <v>10</v>
      </c>
      <c r="G72" s="47">
        <v>10</v>
      </c>
      <c r="H72" s="47">
        <v>10</v>
      </c>
      <c r="I72" s="47">
        <v>1</v>
      </c>
      <c r="J72" s="47">
        <v>1</v>
      </c>
      <c r="K72" s="47">
        <v>1</v>
      </c>
    </row>
    <row r="73" spans="1:11" ht="15.75" customHeight="1" x14ac:dyDescent="0.2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</row>
    <row r="74" spans="1:11" ht="15.75" customHeight="1" x14ac:dyDescent="0.2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</row>
    <row r="75" spans="1:11" ht="15.75" customHeight="1" x14ac:dyDescent="0.2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</row>
    <row r="76" spans="1:11" ht="15.75" customHeight="1" x14ac:dyDescent="0.2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</row>
    <row r="77" spans="1:11" ht="15.75" customHeight="1" x14ac:dyDescent="0.2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</row>
    <row r="78" spans="1:11" ht="15.75" customHeight="1" x14ac:dyDescent="0.2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</row>
    <row r="79" spans="1:11" ht="15.75" customHeight="1" x14ac:dyDescent="0.2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</row>
    <row r="80" spans="1:11" ht="15.75" customHeight="1" x14ac:dyDescent="0.2">
      <c r="A80" s="113" t="s">
        <v>419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</row>
    <row r="81" spans="1:11" ht="15.75" customHeight="1" x14ac:dyDescent="0.2">
      <c r="A81" s="114" t="s">
        <v>411</v>
      </c>
      <c r="B81" s="115">
        <v>43100</v>
      </c>
      <c r="C81" s="115">
        <v>43465</v>
      </c>
      <c r="D81" s="115">
        <v>43830</v>
      </c>
      <c r="E81" s="115">
        <v>44196</v>
      </c>
      <c r="F81" s="115">
        <v>44561</v>
      </c>
      <c r="G81" s="115">
        <v>44926</v>
      </c>
      <c r="H81" s="115">
        <v>45291</v>
      </c>
      <c r="I81" s="115">
        <v>45382</v>
      </c>
      <c r="J81" s="115">
        <v>45747</v>
      </c>
      <c r="K81" s="115">
        <v>46112</v>
      </c>
    </row>
    <row r="82" spans="1:11" ht="15.75" customHeight="1" x14ac:dyDescent="0.2">
      <c r="A82" s="47" t="s">
        <v>394</v>
      </c>
      <c r="B82" s="113">
        <v>1817.79</v>
      </c>
      <c r="C82" s="113">
        <v>2052.4499999999998</v>
      </c>
      <c r="D82" s="113">
        <v>2295.25</v>
      </c>
      <c r="E82" s="113">
        <v>2454.48</v>
      </c>
      <c r="F82" s="113">
        <v>2236</v>
      </c>
      <c r="G82" s="113">
        <v>2737.43</v>
      </c>
      <c r="H82" s="113">
        <v>3392.19</v>
      </c>
      <c r="I82" s="113">
        <v>4174.79</v>
      </c>
      <c r="J82" s="113">
        <v>2934.53</v>
      </c>
      <c r="K82" s="113">
        <v>5047.5600000000004</v>
      </c>
    </row>
    <row r="83" spans="1:11" ht="15.75" customHeight="1" x14ac:dyDescent="0.2">
      <c r="A83" s="47" t="s">
        <v>395</v>
      </c>
      <c r="B83" s="47">
        <v>-130.56</v>
      </c>
      <c r="C83" s="47">
        <v>-52.41</v>
      </c>
      <c r="D83" s="47">
        <v>82.99</v>
      </c>
      <c r="E83" s="47">
        <v>-321.45999999999998</v>
      </c>
      <c r="F83" s="47">
        <v>-1920.33</v>
      </c>
      <c r="G83" s="47">
        <v>-391.73</v>
      </c>
      <c r="H83" s="47">
        <v>-926.99</v>
      </c>
      <c r="I83" s="47">
        <v>-1237.42</v>
      </c>
      <c r="J83" s="47">
        <v>-1810.9</v>
      </c>
      <c r="K83" s="47">
        <v>-623.67999999999995</v>
      </c>
    </row>
    <row r="84" spans="1:11" ht="15.75" customHeight="1" x14ac:dyDescent="0.2">
      <c r="A84" s="47" t="s">
        <v>396</v>
      </c>
      <c r="B84" s="47">
        <v>-996.62</v>
      </c>
      <c r="C84" s="47">
        <v>-1317.42</v>
      </c>
      <c r="D84" s="47">
        <v>-3601.53</v>
      </c>
      <c r="E84" s="47">
        <v>-1955.89</v>
      </c>
      <c r="F84" s="47">
        <v>-2019.97</v>
      </c>
      <c r="G84" s="47">
        <v>-2122.7399999999998</v>
      </c>
      <c r="H84" s="47">
        <v>-2436.4699999999998</v>
      </c>
      <c r="I84" s="47">
        <v>-3134.92</v>
      </c>
      <c r="J84" s="47">
        <v>-1846.3</v>
      </c>
      <c r="K84" s="47">
        <v>-3179.49</v>
      </c>
    </row>
    <row r="85" spans="1:11" ht="15.75" customHeight="1" x14ac:dyDescent="0.2">
      <c r="A85" s="47" t="s">
        <v>397</v>
      </c>
      <c r="B85" s="113">
        <v>690.61</v>
      </c>
      <c r="C85" s="113">
        <v>682.62</v>
      </c>
      <c r="D85" s="113">
        <v>-1223.29</v>
      </c>
      <c r="E85" s="113">
        <v>177.13</v>
      </c>
      <c r="F85" s="113">
        <v>-1704.3</v>
      </c>
      <c r="G85" s="113">
        <v>222.96</v>
      </c>
      <c r="H85" s="113">
        <v>28.73</v>
      </c>
      <c r="I85" s="113">
        <v>-197.55</v>
      </c>
      <c r="J85" s="113">
        <v>-722.67</v>
      </c>
      <c r="K85" s="113">
        <v>1244.3900000000001</v>
      </c>
    </row>
    <row r="86" spans="1:11" ht="15.75" customHeight="1" x14ac:dyDescent="0.2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</row>
    <row r="87" spans="1:11" ht="15.75" customHeight="1" x14ac:dyDescent="0.2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</row>
    <row r="88" spans="1:11" ht="15.75" customHeight="1" x14ac:dyDescent="0.2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</row>
    <row r="89" spans="1:11" ht="15.75" customHeight="1" x14ac:dyDescent="0.2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</row>
    <row r="90" spans="1:11" ht="15.75" customHeight="1" x14ac:dyDescent="0.2">
      <c r="A90" s="113" t="s">
        <v>420</v>
      </c>
      <c r="B90" s="113">
        <v>393.55</v>
      </c>
      <c r="C90" s="113">
        <v>554.24</v>
      </c>
      <c r="D90" s="113">
        <v>739.27</v>
      </c>
      <c r="E90" s="113">
        <v>919.51</v>
      </c>
      <c r="F90" s="113">
        <v>985.29</v>
      </c>
      <c r="G90" s="113">
        <v>980.3</v>
      </c>
      <c r="H90" s="113">
        <v>1329.02</v>
      </c>
      <c r="I90" s="113">
        <v>1311.18</v>
      </c>
      <c r="J90" s="113">
        <v>1125.3800000000001</v>
      </c>
      <c r="K90" s="113">
        <v>1174.8</v>
      </c>
    </row>
    <row r="91" spans="1:11" ht="15.75" customHeight="1" x14ac:dyDescent="0.2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</row>
    <row r="92" spans="1:11" ht="15.75" customHeight="1" x14ac:dyDescent="0.2">
      <c r="A92" s="113" t="s">
        <v>421</v>
      </c>
      <c r="B92" s="113"/>
      <c r="C92" s="113"/>
      <c r="D92" s="113"/>
      <c r="E92" s="113"/>
      <c r="F92" s="113"/>
      <c r="G92" s="113"/>
      <c r="H92" s="113"/>
      <c r="I92" s="113"/>
      <c r="J92" s="113"/>
      <c r="K92" s="113"/>
    </row>
    <row r="93" spans="1:11" ht="15.75" customHeight="1" x14ac:dyDescent="0.2">
      <c r="A93" s="47" t="s">
        <v>422</v>
      </c>
      <c r="B93" s="116">
        <v>192.8</v>
      </c>
      <c r="C93" s="116">
        <v>192.8</v>
      </c>
      <c r="D93" s="116">
        <v>192.8</v>
      </c>
      <c r="E93" s="116">
        <v>192.8</v>
      </c>
      <c r="F93" s="116">
        <v>192.8</v>
      </c>
      <c r="G93" s="116">
        <v>192.8</v>
      </c>
      <c r="H93" s="116">
        <v>192.8</v>
      </c>
      <c r="I93" s="116">
        <v>192.83</v>
      </c>
      <c r="J93" s="116">
        <v>192.83</v>
      </c>
      <c r="K93" s="116">
        <v>192.83</v>
      </c>
    </row>
    <row r="94" spans="1:11" ht="15.75" customHeight="1" x14ac:dyDescent="0.2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</row>
    <row r="95" spans="1:11" ht="15.75" customHeight="1" x14ac:dyDescent="0.2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</row>
    <row r="96" spans="1:11" ht="15.75" customHeight="1" x14ac:dyDescent="0.2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</row>
    <row r="97" spans="1:11" ht="15.75" customHeight="1" x14ac:dyDescent="0.2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</row>
    <row r="98" spans="1:11" ht="15.75" customHeight="1" x14ac:dyDescent="0.2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</row>
    <row r="99" spans="1:11" ht="15.75" customHeight="1" x14ac:dyDescent="0.2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</row>
    <row r="100" spans="1:11" ht="15.75" customHeight="1" x14ac:dyDescent="0.2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</row>
  </sheetData>
  <mergeCells count="2">
    <mergeCell ref="E1:K1"/>
    <mergeCell ref="E2:K2"/>
  </mergeCells>
  <conditionalFormatting sqref="E1:K1">
    <cfRule type="cellIs" dxfId="0" priority="2" operator="notEqual">
      <formula>""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4</vt:i4>
      </vt:variant>
    </vt:vector>
  </HeadingPairs>
  <TitlesOfParts>
    <vt:vector size="22" baseType="lpstr">
      <vt:lpstr>Executive Summary</vt:lpstr>
      <vt:lpstr>Budget VS Actual Dashboard</vt:lpstr>
      <vt:lpstr>Budget VS Forecast Dashboard</vt:lpstr>
      <vt:lpstr> Model&gt;</vt:lpstr>
      <vt:lpstr>Monthly Actuals</vt:lpstr>
      <vt:lpstr>Monthly Budget</vt:lpstr>
      <vt:lpstr>Rolling Forecast</vt:lpstr>
      <vt:lpstr>Budget VS Actuals</vt:lpstr>
      <vt:lpstr>Budget VS Forecast</vt:lpstr>
      <vt:lpstr>Variance Analysis</vt:lpstr>
      <vt:lpstr>Model Checks</vt:lpstr>
      <vt:lpstr>Assumptions</vt:lpstr>
      <vt:lpstr>Financials&gt;</vt:lpstr>
      <vt:lpstr>Common Size Statement</vt:lpstr>
      <vt:lpstr>Ratio analysis</vt:lpstr>
      <vt:lpstr>Data Room&gt;</vt:lpstr>
      <vt:lpstr>Historical FS</vt:lpstr>
      <vt:lpstr>Data Sheet</vt:lpstr>
      <vt:lpstr>Assumptions!Print_Area</vt:lpstr>
      <vt:lpstr>Executive Summary!Print_Area</vt:lpstr>
      <vt:lpstr>Model Checks!Print_Area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Pratyush</dc:creator>
  <dc:description/>
  <cp:lastModifiedBy/>
  <cp:revision>26</cp:revision>
  <cp:lastPrinted>2026-08-08T13:18:24Z</cp:lastPrinted>
  <dcterms:created xsi:type="dcterms:W3CDTF">2012-08-17T09:55:37Z</dcterms:created>
  <dcterms:modified xsi:type="dcterms:W3CDTF">2026-09-18T05:31:00Z</dcterms:modified>
  <dc:language>en-US</dc:language>
</cp:coreProperties>
</file>